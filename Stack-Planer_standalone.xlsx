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ck-Planer" sheetId="1" state="visible" r:id="rId1"/>
    <sheet xmlns:r="http://schemas.openxmlformats.org/officeDocument/2006/relationships" name="Parameter" sheetId="2" state="visible" r:id="rId2"/>
  </sheets>
  <definedNames/>
  <calcPr calcId="124519" fullCalcOnLoad="1"/>
</workbook>
</file>

<file path=xl/styles.xml><?xml version="1.0" encoding="utf-8"?>
<styleSheet xmlns="http://schemas.openxmlformats.org/spreadsheetml/2006/main">
  <numFmts count="5">
    <numFmt numFmtId="164" formatCode="0.000"/>
    <numFmt numFmtId="165" formatCode="0.0"/>
    <numFmt numFmtId="166" formatCode="0.0;;&quot;-&quot;"/>
    <numFmt numFmtId="167" formatCode="0&quot; Punkte&quot;"/>
    <numFmt numFmtId="168" formatCode="0.0000"/>
  </numFmts>
  <fonts count="51">
    <font>
      <name val="Calibri"/>
      <family val="2"/>
      <color theme="1"/>
      <sz val="11"/>
      <scheme val="minor"/>
    </font>
    <font>
      <name val="Arial"/>
      <b val="1"/>
      <color rgb="00FFFFFF"/>
      <sz val="11"/>
    </font>
    <font>
      <name val="Arial"/>
      <sz val="10"/>
    </font>
    <font>
      <name val="Arial"/>
      <b val="1"/>
      <color rgb="00B00020"/>
      <sz val="10"/>
    </font>
    <font>
      <name val="Arial"/>
      <b val="1"/>
      <color rgb="001B7A1B"/>
      <sz val="10"/>
    </font>
    <font>
      <name val="Arial"/>
      <i val="1"/>
      <color rgb="00808080"/>
      <sz val="10"/>
    </font>
    <font>
      <name val="Arial"/>
      <i val="1"/>
      <color rgb="009C5700"/>
      <sz val="10"/>
    </font>
    <font>
      <b val="1"/>
      <color rgb="00FFFFFF"/>
    </font>
    <font>
      <b val="1"/>
    </font>
    <font>
      <name val="Arial"/>
      <b val="1"/>
      <color rgb="009C0006"/>
      <sz val="10"/>
    </font>
    <font>
      <name val="Arial"/>
      <b val="1"/>
      <color rgb="00006100"/>
      <sz val="10"/>
    </font>
    <font>
      <name val="Arial"/>
      <b val="1"/>
      <color rgb="00595959"/>
      <sz val="10"/>
    </font>
    <font>
      <b val="1"/>
      <color rgb="009C0006"/>
    </font>
    <font>
      <b val="1"/>
      <color rgb="00006100"/>
    </font>
    <font>
      <b val="1"/>
      <color rgb="00595959"/>
    </font>
    <font>
      <b val="1"/>
      <sz val="14"/>
    </font>
    <font>
      <b val="1"/>
      <color rgb="00FFFFFF"/>
      <sz val="9"/>
    </font>
    <font>
      <b val="1"/>
      <sz val="9"/>
    </font>
    <font>
      <sz val="9"/>
    </font>
    <font>
      <sz val="8"/>
    </font>
    <font>
      <b val="1"/>
      <sz val="8"/>
    </font>
    <font>
      <b val="1"/>
      <sz val="16"/>
    </font>
    <font>
      <b val="1"/>
      <color rgb="001F4E78"/>
      <sz val="12"/>
    </font>
    <font>
      <color rgb="00444444"/>
      <sz val="9"/>
    </font>
    <font>
      <b val="1"/>
      <sz val="11"/>
    </font>
    <font>
      <color rgb="00888888"/>
      <sz val="9"/>
    </font>
    <font>
      <color rgb="00444444"/>
      <sz val="8"/>
    </font>
    <font>
      <b val="1"/>
      <color rgb="009C6500"/>
      <sz val="10"/>
    </font>
    <font>
      <b val="1"/>
      <sz val="12"/>
    </font>
    <font>
      <color rgb="00CCCCCC"/>
      <sz val="8"/>
    </font>
    <font>
      <color rgb="00666666"/>
      <sz val="8"/>
    </font>
    <font>
      <color rgb="001F4E78"/>
      <sz val="8"/>
    </font>
    <font>
      <b val="1"/>
      <color rgb="009C0006"/>
      <sz val="8"/>
    </font>
    <font>
      <b val="1"/>
      <color rgb="00888888"/>
      <sz val="9"/>
    </font>
    <font>
      <color rgb="00AAAAAA"/>
      <sz val="8"/>
    </font>
    <font>
      <b val="1"/>
      <color rgb="00AAAAAA"/>
      <sz val="8"/>
    </font>
    <font>
      <b val="1"/>
      <color rgb="00006100"/>
      <sz val="9"/>
    </font>
    <font>
      <b val="1"/>
      <color rgb="001F4E78"/>
      <sz val="9"/>
    </font>
    <font>
      <b val="1"/>
      <color rgb="00006100"/>
      <sz val="10"/>
    </font>
    <font>
      <b val="1"/>
      <color rgb="00444444"/>
      <sz val="10"/>
    </font>
    <font>
      <b val="1"/>
      <sz val="10"/>
    </font>
    <font>
      <b val="1"/>
      <color rgb="00444444"/>
      <sz val="20"/>
    </font>
    <font>
      <b val="1"/>
      <color rgb="009C6500"/>
      <sz val="20"/>
    </font>
    <font>
      <b val="1"/>
      <color rgb="00006100"/>
      <sz val="20"/>
    </font>
    <font>
      <b val="1"/>
      <color rgb="009C0006"/>
      <sz val="11"/>
    </font>
    <font>
      <b val="1"/>
      <color rgb="009C6500"/>
      <sz val="12"/>
    </font>
    <font>
      <b val="1"/>
      <color rgb="00006100"/>
      <sz val="12"/>
    </font>
    <font>
      <b val="1"/>
      <color rgb="009C6500"/>
      <sz val="13"/>
    </font>
    <font>
      <b val="1"/>
      <color rgb="00006100"/>
      <sz val="13"/>
    </font>
    <font>
      <color rgb="00888888"/>
      <sz val="8"/>
    </font>
    <font>
      <b val="1"/>
      <color rgb="009C6500"/>
      <sz val="9"/>
    </font>
  </fonts>
  <fills count="51">
    <fill>
      <patternFill/>
    </fill>
    <fill>
      <patternFill patternType="gray125"/>
    </fill>
    <fill>
      <patternFill patternType="solid">
        <fgColor rgb="001F4E78"/>
        <bgColor rgb="001F4E78"/>
      </patternFill>
    </fill>
    <fill>
      <patternFill patternType="solid">
        <fgColor rgb="00EAF1F8"/>
        <bgColor rgb="00EAF1F8"/>
      </patternFill>
    </fill>
    <fill>
      <patternFill patternType="solid">
        <fgColor rgb="00FBEFE3"/>
        <bgColor rgb="00FBEFE3"/>
      </patternFill>
    </fill>
    <fill>
      <patternFill patternType="solid">
        <fgColor rgb="00FDEAEA"/>
        <bgColor rgb="00FDEAEA"/>
      </patternFill>
    </fill>
    <fill>
      <patternFill patternType="solid">
        <fgColor rgb="00FFF6DC"/>
        <bgColor rgb="00FFF6DC"/>
      </patternFill>
    </fill>
    <fill>
      <patternFill patternType="solid">
        <fgColor rgb="00F8E8EC"/>
        <bgColor rgb="00F8E8EC"/>
      </patternFill>
    </fill>
    <fill>
      <patternFill patternType="solid">
        <fgColor rgb="00E6F4EA"/>
        <bgColor rgb="00E6F4EA"/>
      </patternFill>
    </fill>
    <fill>
      <patternFill patternType="solid">
        <fgColor rgb="00E3F0F7"/>
        <bgColor rgb="00E3F0F7"/>
      </patternFill>
    </fill>
    <fill>
      <patternFill patternType="solid">
        <fgColor rgb="00F7F0E3"/>
        <bgColor rgb="00F7F0E3"/>
      </patternFill>
    </fill>
    <fill>
      <patternFill patternType="solid">
        <fgColor rgb="00E3E8F7"/>
        <bgColor rgb="00E3E8F7"/>
      </patternFill>
    </fill>
    <fill>
      <patternFill patternType="solid">
        <fgColor rgb="00F7E9E3"/>
        <bgColor rgb="00F7E9E3"/>
      </patternFill>
    </fill>
    <fill>
      <patternFill patternType="solid">
        <fgColor rgb="00D9EAD3"/>
        <bgColor rgb="00D9EAD3"/>
      </patternFill>
    </fill>
    <fill>
      <patternFill patternType="solid">
        <fgColor rgb="00F7E3EF"/>
        <bgColor rgb="00F7E3EF"/>
      </patternFill>
    </fill>
    <fill>
      <patternFill patternType="solid">
        <fgColor rgb="00EDEDED"/>
        <bgColor rgb="00EDEDED"/>
      </patternFill>
    </fill>
    <fill>
      <patternFill patternType="solid">
        <fgColor rgb="00F7E3EF"/>
      </patternFill>
    </fill>
    <fill>
      <patternFill patternType="solid">
        <fgColor rgb="00E8DFF2"/>
      </patternFill>
    </fill>
    <fill>
      <patternFill patternType="solid">
        <fgColor rgb="00EFEFEF"/>
      </patternFill>
    </fill>
    <fill>
      <patternFill patternType="solid">
        <fgColor rgb="001F4E78"/>
      </patternFill>
    </fill>
    <fill>
      <patternFill patternType="solid">
        <fgColor rgb="00FCE4E4"/>
      </patternFill>
    </fill>
    <fill>
      <patternFill patternType="solid">
        <fgColor rgb="00E2F0E4"/>
      </patternFill>
    </fill>
    <fill>
      <patternFill patternType="solid">
        <fgColor rgb="00FFF6DC"/>
      </patternFill>
    </fill>
    <fill>
      <patternFill patternType="solid">
        <fgColor rgb="00E6E6F5"/>
      </patternFill>
    </fill>
    <fill>
      <patternFill patternType="solid">
        <fgColor rgb="00F2D5D5"/>
      </patternFill>
    </fill>
    <fill>
      <patternFill patternType="solid">
        <fgColor rgb="00EAF1F8"/>
      </patternFill>
    </fill>
    <fill>
      <patternFill patternType="solid">
        <fgColor rgb="00FBEFE3"/>
      </patternFill>
    </fill>
    <fill>
      <patternFill patternType="solid">
        <fgColor rgb="00FDEAEA"/>
      </patternFill>
    </fill>
    <fill>
      <patternFill patternType="solid">
        <fgColor rgb="00F8E8EC"/>
      </patternFill>
    </fill>
    <fill>
      <patternFill patternType="solid">
        <fgColor rgb="00E6F4EA"/>
      </patternFill>
    </fill>
    <fill>
      <patternFill patternType="solid">
        <fgColor rgb="00E3F0F7"/>
      </patternFill>
    </fill>
    <fill>
      <patternFill patternType="solid">
        <fgColor rgb="00F7F0E3"/>
      </patternFill>
    </fill>
    <fill>
      <patternFill patternType="solid">
        <fgColor rgb="00E3E8F7"/>
      </patternFill>
    </fill>
    <fill>
      <patternFill patternType="solid">
        <fgColor rgb="00F7E9E3"/>
      </patternFill>
    </fill>
    <fill>
      <patternFill patternType="solid">
        <fgColor rgb="00D9EAD3"/>
      </patternFill>
    </fill>
    <fill>
      <patternFill patternType="solid">
        <fgColor rgb="00F8CBCB"/>
      </patternFill>
    </fill>
    <fill>
      <patternFill patternType="solid">
        <fgColor rgb="00C6EFCE"/>
      </patternFill>
    </fill>
    <fill>
      <patternFill patternType="solid">
        <fgColor rgb="00D9D9D9"/>
      </patternFill>
    </fill>
    <fill>
      <patternFill patternType="solid">
        <fgColor rgb="00D6DCE4"/>
      </patternFill>
    </fill>
    <fill>
      <patternFill patternType="solid">
        <fgColor rgb="00DDEBF7"/>
      </patternFill>
    </fill>
    <fill>
      <patternFill patternType="solid">
        <fgColor rgb="00FFE8CC"/>
      </patternFill>
    </fill>
    <fill>
      <patternFill patternType="solid">
        <fgColor rgb="00E8E8D0"/>
      </patternFill>
    </fill>
    <fill>
      <patternFill patternType="solid">
        <fgColor rgb="00EAD1DC"/>
      </patternFill>
    </fill>
    <fill>
      <patternFill patternType="solid">
        <fgColor rgb="00EFE0C8"/>
      </patternFill>
    </fill>
    <fill>
      <patternFill patternType="solid">
        <fgColor rgb="00EDEDED"/>
      </patternFill>
    </fill>
    <fill>
      <patternFill patternType="solid">
        <fgColor rgb="00FFC7CE"/>
      </patternFill>
    </fill>
    <fill>
      <patternFill patternType="solid">
        <fgColor rgb="00F2F2F2"/>
      </patternFill>
    </fill>
    <fill>
      <patternFill patternType="solid">
        <fgColor rgb="00FFF2CC"/>
      </patternFill>
    </fill>
    <fill>
      <patternFill patternType="solid">
        <fgColor rgb="00FFEB9C"/>
      </patternFill>
    </fill>
    <fill>
      <patternFill patternType="solid">
        <fgColor rgb="00D9E7F5"/>
      </patternFill>
    </fill>
    <fill>
      <patternFill patternType="solid">
        <fgColor rgb="00E2EFDA"/>
      </patternFill>
    </fill>
  </fills>
  <borders count="7">
    <border>
      <left/>
      <right/>
      <top/>
      <bottom/>
      <diagonal/>
    </border>
    <border>
      <left style="thin">
        <color rgb="00D9D9D9"/>
      </left>
      <right style="thin">
        <color rgb="00D9D9D9"/>
      </right>
      <top style="thin">
        <color rgb="00D9D9D9"/>
      </top>
      <bottom style="thin">
        <color rgb="00D9D9D9"/>
      </bottom>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30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3" borderId="1" applyAlignment="1" pivotButton="0" quotePrefix="0" xfId="0">
      <alignment horizontal="center" vertical="top" wrapText="1"/>
    </xf>
    <xf numFmtId="0" fontId="2" fillId="3" borderId="1" applyAlignment="1" pivotButton="0" quotePrefix="0" xfId="0">
      <alignment horizontal="center" vertical="top" wrapText="1"/>
    </xf>
    <xf numFmtId="2" fontId="2" fillId="3" borderId="1" applyAlignment="1" pivotButton="0" quotePrefix="0" xfId="0">
      <alignment horizontal="center" vertical="top"/>
    </xf>
    <xf numFmtId="0" fontId="4" fillId="3" borderId="1" applyAlignment="1" pivotButton="0" quotePrefix="0" xfId="0">
      <alignment horizontal="center" vertical="top" wrapText="1"/>
    </xf>
    <xf numFmtId="0" fontId="5" fillId="3" borderId="1" applyAlignment="1" pivotButton="0" quotePrefix="0" xfId="0">
      <alignment horizontal="center" vertical="top" wrapText="1"/>
    </xf>
    <xf numFmtId="0" fontId="2" fillId="4" borderId="1" applyAlignment="1" pivotButton="0" quotePrefix="0" xfId="0">
      <alignment vertical="top" wrapText="1"/>
    </xf>
    <xf numFmtId="0" fontId="3" fillId="4" borderId="1" applyAlignment="1" pivotButton="0" quotePrefix="0" xfId="0">
      <alignment horizontal="center" vertical="top" wrapText="1"/>
    </xf>
    <xf numFmtId="0" fontId="2" fillId="4" borderId="1" applyAlignment="1" pivotButton="0" quotePrefix="0" xfId="0">
      <alignment horizontal="center" vertical="top" wrapText="1"/>
    </xf>
    <xf numFmtId="2" fontId="2" fillId="4" borderId="1" applyAlignment="1" pivotButton="0" quotePrefix="0" xfId="0">
      <alignment horizontal="center" vertical="top"/>
    </xf>
    <xf numFmtId="0" fontId="4" fillId="4" borderId="1" applyAlignment="1" pivotButton="0" quotePrefix="0" xfId="0">
      <alignment horizontal="center" vertical="top" wrapText="1"/>
    </xf>
    <xf numFmtId="0" fontId="2" fillId="5" borderId="1" applyAlignment="1" pivotButton="0" quotePrefix="0" xfId="0">
      <alignment vertical="top" wrapText="1"/>
    </xf>
    <xf numFmtId="0" fontId="3" fillId="5" borderId="1" applyAlignment="1" pivotButton="0" quotePrefix="0" xfId="0">
      <alignment horizontal="center" vertical="top" wrapText="1"/>
    </xf>
    <xf numFmtId="0" fontId="2" fillId="5" borderId="1" applyAlignment="1" pivotButton="0" quotePrefix="0" xfId="0">
      <alignment horizontal="center" vertical="top" wrapText="1"/>
    </xf>
    <xf numFmtId="2" fontId="2" fillId="5" borderId="1" applyAlignment="1" pivotButton="0" quotePrefix="0" xfId="0">
      <alignment horizontal="center" vertical="top"/>
    </xf>
    <xf numFmtId="0" fontId="4" fillId="5" borderId="1" applyAlignment="1" pivotButton="0" quotePrefix="0" xfId="0">
      <alignment horizontal="center" vertical="top" wrapText="1"/>
    </xf>
    <xf numFmtId="0" fontId="2" fillId="6" borderId="1" applyAlignment="1" pivotButton="0" quotePrefix="0" xfId="0">
      <alignment vertical="top" wrapText="1"/>
    </xf>
    <xf numFmtId="0" fontId="3" fillId="6" borderId="1" applyAlignment="1" pivotButton="0" quotePrefix="0" xfId="0">
      <alignment horizontal="center" vertical="top" wrapText="1"/>
    </xf>
    <xf numFmtId="0" fontId="2" fillId="6" borderId="1" applyAlignment="1" pivotButton="0" quotePrefix="0" xfId="0">
      <alignment horizontal="center" vertical="top" wrapText="1"/>
    </xf>
    <xf numFmtId="2" fontId="2" fillId="6" borderId="1" applyAlignment="1" pivotButton="0" quotePrefix="0" xfId="0">
      <alignment horizontal="center" vertical="top"/>
    </xf>
    <xf numFmtId="0" fontId="4" fillId="6" borderId="1" applyAlignment="1" pivotButton="0" quotePrefix="0" xfId="0">
      <alignment horizontal="center" vertical="top" wrapText="1"/>
    </xf>
    <xf numFmtId="0" fontId="2" fillId="7" borderId="1" applyAlignment="1" pivotButton="0" quotePrefix="0" xfId="0">
      <alignment vertical="top" wrapText="1"/>
    </xf>
    <xf numFmtId="0" fontId="3" fillId="7" borderId="1" applyAlignment="1" pivotButton="0" quotePrefix="0" xfId="0">
      <alignment horizontal="center" vertical="top" wrapText="1"/>
    </xf>
    <xf numFmtId="0" fontId="2" fillId="7" borderId="1" applyAlignment="1" pivotButton="0" quotePrefix="0" xfId="0">
      <alignment horizontal="center" vertical="top" wrapText="1"/>
    </xf>
    <xf numFmtId="2" fontId="2" fillId="7" borderId="1" applyAlignment="1" pivotButton="0" quotePrefix="0" xfId="0">
      <alignment horizontal="center" vertical="top"/>
    </xf>
    <xf numFmtId="0" fontId="4" fillId="7" borderId="1" applyAlignment="1" pivotButton="0" quotePrefix="0" xfId="0">
      <alignment horizontal="center" vertical="top" wrapText="1"/>
    </xf>
    <xf numFmtId="0" fontId="2" fillId="8" borderId="1" applyAlignment="1" pivotButton="0" quotePrefix="0" xfId="0">
      <alignment vertical="top" wrapText="1"/>
    </xf>
    <xf numFmtId="0" fontId="3" fillId="8" borderId="1" applyAlignment="1" pivotButton="0" quotePrefix="0" xfId="0">
      <alignment horizontal="center" vertical="top" wrapText="1"/>
    </xf>
    <xf numFmtId="0" fontId="2" fillId="8" borderId="1" applyAlignment="1" pivotButton="0" quotePrefix="0" xfId="0">
      <alignment horizontal="center" vertical="top" wrapText="1"/>
    </xf>
    <xf numFmtId="2" fontId="2" fillId="8" borderId="1" applyAlignment="1" pivotButton="0" quotePrefix="0" xfId="0">
      <alignment horizontal="center" vertical="top"/>
    </xf>
    <xf numFmtId="0" fontId="4" fillId="8" borderId="1" applyAlignment="1" pivotButton="0" quotePrefix="0" xfId="0">
      <alignment horizontal="center" vertical="top" wrapText="1"/>
    </xf>
    <xf numFmtId="0" fontId="2" fillId="9" borderId="1" applyAlignment="1" pivotButton="0" quotePrefix="0" xfId="0">
      <alignment vertical="top" wrapText="1"/>
    </xf>
    <xf numFmtId="0" fontId="3" fillId="9" borderId="1" applyAlignment="1" pivotButton="0" quotePrefix="0" xfId="0">
      <alignment horizontal="center" vertical="top" wrapText="1"/>
    </xf>
    <xf numFmtId="0" fontId="2" fillId="9" borderId="1" applyAlignment="1" pivotButton="0" quotePrefix="0" xfId="0">
      <alignment horizontal="center" vertical="top" wrapText="1"/>
    </xf>
    <xf numFmtId="2" fontId="2" fillId="9" borderId="1" applyAlignment="1" pivotButton="0" quotePrefix="0" xfId="0">
      <alignment horizontal="center" vertical="top"/>
    </xf>
    <xf numFmtId="0" fontId="4" fillId="9" borderId="1" applyAlignment="1" pivotButton="0" quotePrefix="0" xfId="0">
      <alignment horizontal="center" vertical="top" wrapText="1"/>
    </xf>
    <xf numFmtId="0" fontId="2" fillId="10" borderId="1" applyAlignment="1" pivotButton="0" quotePrefix="0" xfId="0">
      <alignment vertical="top" wrapText="1"/>
    </xf>
    <xf numFmtId="0" fontId="3" fillId="10" borderId="1" applyAlignment="1" pivotButton="0" quotePrefix="0" xfId="0">
      <alignment horizontal="center" vertical="top" wrapText="1"/>
    </xf>
    <xf numFmtId="0" fontId="2" fillId="10" borderId="1" applyAlignment="1" pivotButton="0" quotePrefix="0" xfId="0">
      <alignment horizontal="center" vertical="top" wrapText="1"/>
    </xf>
    <xf numFmtId="2" fontId="2" fillId="10" borderId="1" applyAlignment="1" pivotButton="0" quotePrefix="0" xfId="0">
      <alignment horizontal="center" vertical="top"/>
    </xf>
    <xf numFmtId="0" fontId="4" fillId="10" borderId="1" applyAlignment="1" pivotButton="0" quotePrefix="0" xfId="0">
      <alignment horizontal="center" vertical="top" wrapText="1"/>
    </xf>
    <xf numFmtId="0" fontId="2" fillId="11" borderId="1" applyAlignment="1" pivotButton="0" quotePrefix="0" xfId="0">
      <alignment vertical="top" wrapText="1"/>
    </xf>
    <xf numFmtId="0" fontId="3" fillId="11" borderId="1" applyAlignment="1" pivotButton="0" quotePrefix="0" xfId="0">
      <alignment horizontal="center" vertical="top" wrapText="1"/>
    </xf>
    <xf numFmtId="0" fontId="2" fillId="11" borderId="1" applyAlignment="1" pivotButton="0" quotePrefix="0" xfId="0">
      <alignment horizontal="center" vertical="top" wrapText="1"/>
    </xf>
    <xf numFmtId="2" fontId="2" fillId="11" borderId="1" applyAlignment="1" pivotButton="0" quotePrefix="0" xfId="0">
      <alignment horizontal="center" vertical="top"/>
    </xf>
    <xf numFmtId="0" fontId="2" fillId="12" borderId="1" applyAlignment="1" pivotButton="0" quotePrefix="0" xfId="0">
      <alignment vertical="top" wrapText="1"/>
    </xf>
    <xf numFmtId="0" fontId="3" fillId="12" borderId="1" applyAlignment="1" pivotButton="0" quotePrefix="0" xfId="0">
      <alignment horizontal="center" vertical="top" wrapText="1"/>
    </xf>
    <xf numFmtId="0" fontId="2" fillId="12" borderId="1" applyAlignment="1" pivotButton="0" quotePrefix="0" xfId="0">
      <alignment horizontal="center" vertical="top" wrapText="1"/>
    </xf>
    <xf numFmtId="2" fontId="2" fillId="12" borderId="1" applyAlignment="1" pivotButton="0" quotePrefix="0" xfId="0">
      <alignment horizontal="center" vertical="top"/>
    </xf>
    <xf numFmtId="0" fontId="4" fillId="12" borderId="1" applyAlignment="1" pivotButton="0" quotePrefix="0" xfId="0">
      <alignment horizontal="center" vertical="top" wrapText="1"/>
    </xf>
    <xf numFmtId="0" fontId="2" fillId="13" borderId="1" applyAlignment="1" pivotButton="0" quotePrefix="0" xfId="0">
      <alignment vertical="top" wrapText="1"/>
    </xf>
    <xf numFmtId="0" fontId="4" fillId="13" borderId="1" applyAlignment="1" pivotButton="0" quotePrefix="0" xfId="0">
      <alignment horizontal="center" vertical="top" wrapText="1"/>
    </xf>
    <xf numFmtId="0" fontId="2" fillId="13" borderId="1" applyAlignment="1" pivotButton="0" quotePrefix="0" xfId="0">
      <alignment horizontal="center" vertical="top" wrapText="1"/>
    </xf>
    <xf numFmtId="2" fontId="2" fillId="13" borderId="1" applyAlignment="1" pivotButton="0" quotePrefix="0" xfId="0">
      <alignment horizontal="center" vertical="top"/>
    </xf>
    <xf numFmtId="0" fontId="2" fillId="14" borderId="1" applyAlignment="1" pivotButton="0" quotePrefix="0" xfId="0">
      <alignment vertical="top" wrapText="1"/>
    </xf>
    <xf numFmtId="0" fontId="4" fillId="14" borderId="1" applyAlignment="1" pivotButton="0" quotePrefix="0" xfId="0">
      <alignment horizontal="center" vertical="top" wrapText="1"/>
    </xf>
    <xf numFmtId="0" fontId="2" fillId="14" borderId="1" applyAlignment="1" pivotButton="0" quotePrefix="0" xfId="0">
      <alignment horizontal="center" vertical="top" wrapText="1"/>
    </xf>
    <xf numFmtId="2" fontId="2" fillId="14" borderId="1" applyAlignment="1" pivotButton="0" quotePrefix="0" xfId="0">
      <alignment horizontal="center" vertical="top"/>
    </xf>
    <xf numFmtId="0" fontId="2" fillId="15" borderId="1" applyAlignment="1" pivotButton="0" quotePrefix="0" xfId="0">
      <alignment vertical="top" wrapText="1"/>
    </xf>
    <xf numFmtId="0" fontId="5" fillId="15" borderId="1" applyAlignment="1" pivotButton="0" quotePrefix="0" xfId="0">
      <alignment horizontal="center" vertical="top" wrapText="1"/>
    </xf>
    <xf numFmtId="0" fontId="6" fillId="15" borderId="1" applyAlignment="1" pivotButton="0" quotePrefix="0" xfId="0">
      <alignment horizontal="center" vertical="top" wrapText="1"/>
    </xf>
    <xf numFmtId="2" fontId="2" fillId="15" borderId="1" applyAlignment="1" pivotButton="0" quotePrefix="0" xfId="0">
      <alignment horizontal="center" vertical="top"/>
    </xf>
    <xf numFmtId="0" fontId="2" fillId="16" borderId="1" applyAlignment="1" pivotButton="0" quotePrefix="0" xfId="0">
      <alignment vertical="top" wrapText="1"/>
    </xf>
    <xf numFmtId="0" fontId="4" fillId="16" borderId="1" applyAlignment="1" pivotButton="0" quotePrefix="0" xfId="0">
      <alignment horizontal="center" vertical="top" wrapText="1"/>
    </xf>
    <xf numFmtId="0" fontId="2" fillId="16" borderId="1" applyAlignment="1" pivotButton="0" quotePrefix="0" xfId="0">
      <alignment horizontal="center" vertical="top" wrapText="1"/>
    </xf>
    <xf numFmtId="2" fontId="2" fillId="16" borderId="1" applyAlignment="1" pivotButton="0" quotePrefix="0" xfId="0">
      <alignment horizontal="center" vertical="top"/>
    </xf>
    <xf numFmtId="0" fontId="2" fillId="17" borderId="1" applyAlignment="1" pivotButton="0" quotePrefix="0" xfId="0">
      <alignment vertical="top" wrapText="1"/>
    </xf>
    <xf numFmtId="0" fontId="4" fillId="17" borderId="1" applyAlignment="1" pivotButton="0" quotePrefix="0" xfId="0">
      <alignment horizontal="center" vertical="top" wrapText="1"/>
    </xf>
    <xf numFmtId="0" fontId="2" fillId="17" borderId="1" applyAlignment="1" pivotButton="0" quotePrefix="0" xfId="0">
      <alignment horizontal="center" vertical="top" wrapText="1"/>
    </xf>
    <xf numFmtId="2" fontId="2" fillId="17" borderId="1" applyAlignment="1" pivotButton="0" quotePrefix="0" xfId="0">
      <alignment horizontal="center" vertical="top"/>
    </xf>
    <xf numFmtId="0" fontId="2" fillId="18" borderId="1" applyAlignment="1" pivotButton="0" quotePrefix="0" xfId="0">
      <alignment vertical="top" wrapText="1"/>
    </xf>
    <xf numFmtId="0" fontId="5" fillId="18" borderId="1" applyAlignment="1" pivotButton="0" quotePrefix="0" xfId="0">
      <alignment horizontal="center" vertical="top" wrapText="1"/>
    </xf>
    <xf numFmtId="0" fontId="6" fillId="18" borderId="1" applyAlignment="1" pivotButton="0" quotePrefix="0" xfId="0">
      <alignment horizontal="center" vertical="top" wrapText="1"/>
    </xf>
    <xf numFmtId="2" fontId="2" fillId="18" borderId="1" applyAlignment="1" pivotButton="0" quotePrefix="0" xfId="0">
      <alignment horizontal="center" vertical="top"/>
    </xf>
    <xf numFmtId="0" fontId="7" fillId="19" borderId="2" applyAlignment="1" pivotButton="0" quotePrefix="0" xfId="0">
      <alignment vertical="center" wrapText="1"/>
    </xf>
    <xf numFmtId="0" fontId="0" fillId="20" borderId="2" applyAlignment="1" pivotButton="0" quotePrefix="0" xfId="0">
      <alignment vertical="top" wrapText="1"/>
    </xf>
    <xf numFmtId="0" fontId="8" fillId="20" borderId="2" applyAlignment="1" pivotButton="0" quotePrefix="0" xfId="0">
      <alignment vertical="top" wrapText="1"/>
    </xf>
    <xf numFmtId="0" fontId="0" fillId="21" borderId="2" applyAlignment="1" pivotButton="0" quotePrefix="0" xfId="0">
      <alignment vertical="top" wrapText="1"/>
    </xf>
    <xf numFmtId="0" fontId="8" fillId="21" borderId="2" applyAlignment="1" pivotButton="0" quotePrefix="0" xfId="0">
      <alignment vertical="top" wrapText="1"/>
    </xf>
    <xf numFmtId="0" fontId="0" fillId="22" borderId="2" applyAlignment="1" pivotButton="0" quotePrefix="0" xfId="0">
      <alignment vertical="top" wrapText="1"/>
    </xf>
    <xf numFmtId="0" fontId="8" fillId="22" borderId="2" applyAlignment="1" pivotButton="0" quotePrefix="0" xfId="0">
      <alignment vertical="top" wrapText="1"/>
    </xf>
    <xf numFmtId="0" fontId="0" fillId="23" borderId="2" applyAlignment="1" pivotButton="0" quotePrefix="0" xfId="0">
      <alignment vertical="top" wrapText="1"/>
    </xf>
    <xf numFmtId="0" fontId="8" fillId="23" borderId="2" applyAlignment="1" pivotButton="0" quotePrefix="0" xfId="0">
      <alignment vertical="top" wrapText="1"/>
    </xf>
    <xf numFmtId="0" fontId="0" fillId="24" borderId="2" applyAlignment="1" pivotButton="0" quotePrefix="0" xfId="0">
      <alignment vertical="top" wrapText="1"/>
    </xf>
    <xf numFmtId="0" fontId="8" fillId="24" borderId="2" applyAlignment="1" pivotButton="0" quotePrefix="0" xfId="0">
      <alignment vertical="top" wrapText="1"/>
    </xf>
    <xf numFmtId="0" fontId="2" fillId="25" borderId="1" applyAlignment="1" pivotButton="0" quotePrefix="0" xfId="0">
      <alignment vertical="top" wrapText="1"/>
    </xf>
    <xf numFmtId="0" fontId="3" fillId="25" borderId="1" applyAlignment="1" pivotButton="0" quotePrefix="0" xfId="0">
      <alignment horizontal="center" vertical="top" wrapText="1"/>
    </xf>
    <xf numFmtId="0" fontId="2" fillId="25" borderId="1" applyAlignment="1" pivotButton="0" quotePrefix="0" xfId="0">
      <alignment horizontal="center" vertical="top" wrapText="1"/>
    </xf>
    <xf numFmtId="2" fontId="2" fillId="25" borderId="1" applyAlignment="1" pivotButton="0" quotePrefix="0" xfId="0">
      <alignment horizontal="center" vertical="top"/>
    </xf>
    <xf numFmtId="0" fontId="2" fillId="26" borderId="1" applyAlignment="1" pivotButton="0" quotePrefix="0" xfId="0">
      <alignment vertical="top" wrapText="1"/>
    </xf>
    <xf numFmtId="0" fontId="3" fillId="26" borderId="1" applyAlignment="1" pivotButton="0" quotePrefix="0" xfId="0">
      <alignment horizontal="center" vertical="top" wrapText="1"/>
    </xf>
    <xf numFmtId="0" fontId="2" fillId="26" borderId="1" applyAlignment="1" pivotButton="0" quotePrefix="0" xfId="0">
      <alignment horizontal="center" vertical="top" wrapText="1"/>
    </xf>
    <xf numFmtId="2" fontId="2" fillId="26" borderId="1" applyAlignment="1" pivotButton="0" quotePrefix="0" xfId="0">
      <alignment horizontal="center" vertical="top"/>
    </xf>
    <xf numFmtId="0" fontId="2" fillId="27" borderId="1" applyAlignment="1" pivotButton="0" quotePrefix="0" xfId="0">
      <alignment vertical="top" wrapText="1"/>
    </xf>
    <xf numFmtId="0" fontId="3" fillId="27" borderId="1" applyAlignment="1" pivotButton="0" quotePrefix="0" xfId="0">
      <alignment horizontal="center" vertical="top" wrapText="1"/>
    </xf>
    <xf numFmtId="0" fontId="2" fillId="27" borderId="1" applyAlignment="1" pivotButton="0" quotePrefix="0" xfId="0">
      <alignment horizontal="center" vertical="top" wrapText="1"/>
    </xf>
    <xf numFmtId="2" fontId="2" fillId="27" borderId="1" applyAlignment="1" pivotButton="0" quotePrefix="0" xfId="0">
      <alignment horizontal="center" vertical="top"/>
    </xf>
    <xf numFmtId="0" fontId="2" fillId="20" borderId="1" applyAlignment="1" pivotButton="0" quotePrefix="0" xfId="0">
      <alignment vertical="top" wrapText="1"/>
    </xf>
    <xf numFmtId="0" fontId="3" fillId="20" borderId="1" applyAlignment="1" pivotButton="0" quotePrefix="0" xfId="0">
      <alignment horizontal="center" vertical="top" wrapText="1"/>
    </xf>
    <xf numFmtId="0" fontId="2" fillId="20" borderId="1" applyAlignment="1" pivotButton="0" quotePrefix="0" xfId="0">
      <alignment horizontal="center" vertical="top" wrapText="1"/>
    </xf>
    <xf numFmtId="2" fontId="2" fillId="20" borderId="1" applyAlignment="1" pivotButton="0" quotePrefix="0" xfId="0">
      <alignment horizontal="center" vertical="top"/>
    </xf>
    <xf numFmtId="0" fontId="2" fillId="21" borderId="1" applyAlignment="1" pivotButton="0" quotePrefix="0" xfId="0">
      <alignment vertical="top" wrapText="1"/>
    </xf>
    <xf numFmtId="0" fontId="3" fillId="21" borderId="1" applyAlignment="1" pivotButton="0" quotePrefix="0" xfId="0">
      <alignment horizontal="center" vertical="top" wrapText="1"/>
    </xf>
    <xf numFmtId="0" fontId="2" fillId="21" borderId="1" applyAlignment="1" pivotButton="0" quotePrefix="0" xfId="0">
      <alignment horizontal="center" vertical="top" wrapText="1"/>
    </xf>
    <xf numFmtId="2" fontId="2" fillId="21" borderId="1" applyAlignment="1" pivotButton="0" quotePrefix="0" xfId="0">
      <alignment horizontal="center" vertical="top"/>
    </xf>
    <xf numFmtId="0" fontId="2" fillId="22" borderId="1" applyAlignment="1" pivotButton="0" quotePrefix="0" xfId="0">
      <alignment vertical="top" wrapText="1"/>
    </xf>
    <xf numFmtId="0" fontId="3" fillId="22" borderId="1" applyAlignment="1" pivotButton="0" quotePrefix="0" xfId="0">
      <alignment horizontal="center" vertical="top" wrapText="1"/>
    </xf>
    <xf numFmtId="0" fontId="2" fillId="22" borderId="1" applyAlignment="1" pivotButton="0" quotePrefix="0" xfId="0">
      <alignment horizontal="center" vertical="top" wrapText="1"/>
    </xf>
    <xf numFmtId="2" fontId="2" fillId="22" borderId="1" applyAlignment="1" pivotButton="0" quotePrefix="0" xfId="0">
      <alignment horizontal="center" vertical="top"/>
    </xf>
    <xf numFmtId="0" fontId="2" fillId="23" borderId="1" applyAlignment="1" pivotButton="0" quotePrefix="0" xfId="0">
      <alignment vertical="top" wrapText="1"/>
    </xf>
    <xf numFmtId="0" fontId="3" fillId="23" borderId="1" applyAlignment="1" pivotButton="0" quotePrefix="0" xfId="0">
      <alignment horizontal="center" vertical="top" wrapText="1"/>
    </xf>
    <xf numFmtId="0" fontId="2" fillId="23" borderId="1" applyAlignment="1" pivotButton="0" quotePrefix="0" xfId="0">
      <alignment horizontal="center" vertical="top" wrapText="1"/>
    </xf>
    <xf numFmtId="2" fontId="2" fillId="23" borderId="1" applyAlignment="1" pivotButton="0" quotePrefix="0" xfId="0">
      <alignment horizontal="center" vertical="top"/>
    </xf>
    <xf numFmtId="0" fontId="2" fillId="28" borderId="1" applyAlignment="1" pivotButton="0" quotePrefix="0" xfId="0">
      <alignment vertical="top" wrapText="1"/>
    </xf>
    <xf numFmtId="0" fontId="3" fillId="28" borderId="1" applyAlignment="1" pivotButton="0" quotePrefix="0" xfId="0">
      <alignment horizontal="center" vertical="top" wrapText="1"/>
    </xf>
    <xf numFmtId="0" fontId="2" fillId="28" borderId="1" applyAlignment="1" pivotButton="0" quotePrefix="0" xfId="0">
      <alignment horizontal="center" vertical="top" wrapText="1"/>
    </xf>
    <xf numFmtId="2" fontId="2" fillId="28" borderId="1" applyAlignment="1" pivotButton="0" quotePrefix="0" xfId="0">
      <alignment horizontal="center" vertical="top"/>
    </xf>
    <xf numFmtId="0" fontId="2" fillId="29" borderId="1" applyAlignment="1" pivotButton="0" quotePrefix="0" xfId="0">
      <alignment vertical="top" wrapText="1"/>
    </xf>
    <xf numFmtId="0" fontId="3" fillId="29" borderId="1" applyAlignment="1" pivotButton="0" quotePrefix="0" xfId="0">
      <alignment horizontal="center" vertical="top" wrapText="1"/>
    </xf>
    <xf numFmtId="0" fontId="2" fillId="29" borderId="1" applyAlignment="1" pivotButton="0" quotePrefix="0" xfId="0">
      <alignment horizontal="center" vertical="top" wrapText="1"/>
    </xf>
    <xf numFmtId="2" fontId="2" fillId="29" borderId="1" applyAlignment="1" pivotButton="0" quotePrefix="0" xfId="0">
      <alignment horizontal="center" vertical="top"/>
    </xf>
    <xf numFmtId="0" fontId="2" fillId="30" borderId="1" applyAlignment="1" pivotButton="0" quotePrefix="0" xfId="0">
      <alignment vertical="top" wrapText="1"/>
    </xf>
    <xf numFmtId="0" fontId="3" fillId="30" borderId="1" applyAlignment="1" pivotButton="0" quotePrefix="0" xfId="0">
      <alignment horizontal="center" vertical="top" wrapText="1"/>
    </xf>
    <xf numFmtId="0" fontId="2" fillId="30" borderId="1" applyAlignment="1" pivotButton="0" quotePrefix="0" xfId="0">
      <alignment horizontal="center" vertical="top" wrapText="1"/>
    </xf>
    <xf numFmtId="2" fontId="2" fillId="30" borderId="1" applyAlignment="1" pivotButton="0" quotePrefix="0" xfId="0">
      <alignment horizontal="center" vertical="top"/>
    </xf>
    <xf numFmtId="0" fontId="2" fillId="31" borderId="1" applyAlignment="1" pivotButton="0" quotePrefix="0" xfId="0">
      <alignment vertical="top" wrapText="1"/>
    </xf>
    <xf numFmtId="0" fontId="3" fillId="31" borderId="1" applyAlignment="1" pivotButton="0" quotePrefix="0" xfId="0">
      <alignment horizontal="center" vertical="top" wrapText="1"/>
    </xf>
    <xf numFmtId="0" fontId="2" fillId="31" borderId="1" applyAlignment="1" pivotButton="0" quotePrefix="0" xfId="0">
      <alignment horizontal="center" vertical="top" wrapText="1"/>
    </xf>
    <xf numFmtId="2" fontId="2" fillId="31" borderId="1" applyAlignment="1" pivotButton="0" quotePrefix="0" xfId="0">
      <alignment horizontal="center" vertical="top"/>
    </xf>
    <xf numFmtId="0" fontId="2" fillId="32" borderId="1" applyAlignment="1" pivotButton="0" quotePrefix="0" xfId="0">
      <alignment vertical="top" wrapText="1"/>
    </xf>
    <xf numFmtId="0" fontId="3" fillId="32" borderId="1" applyAlignment="1" pivotButton="0" quotePrefix="0" xfId="0">
      <alignment horizontal="center" vertical="top" wrapText="1"/>
    </xf>
    <xf numFmtId="0" fontId="2" fillId="32" borderId="1" applyAlignment="1" pivotButton="0" quotePrefix="0" xfId="0">
      <alignment horizontal="center" vertical="top" wrapText="1"/>
    </xf>
    <xf numFmtId="2" fontId="2" fillId="32" borderId="1" applyAlignment="1" pivotButton="0" quotePrefix="0" xfId="0">
      <alignment horizontal="center" vertical="top"/>
    </xf>
    <xf numFmtId="0" fontId="2" fillId="33" borderId="1" applyAlignment="1" pivotButton="0" quotePrefix="0" xfId="0">
      <alignment vertical="top" wrapText="1"/>
    </xf>
    <xf numFmtId="0" fontId="3" fillId="33" borderId="1" applyAlignment="1" pivotButton="0" quotePrefix="0" xfId="0">
      <alignment horizontal="center" vertical="top" wrapText="1"/>
    </xf>
    <xf numFmtId="0" fontId="2" fillId="33" borderId="1" applyAlignment="1" pivotButton="0" quotePrefix="0" xfId="0">
      <alignment horizontal="center" vertical="top" wrapText="1"/>
    </xf>
    <xf numFmtId="2" fontId="2" fillId="33" borderId="1" applyAlignment="1" pivotButton="0" quotePrefix="0" xfId="0">
      <alignment horizontal="center" vertical="top"/>
    </xf>
    <xf numFmtId="0" fontId="2" fillId="34" borderId="1" applyAlignment="1" pivotButton="0" quotePrefix="0" xfId="0">
      <alignment vertical="top" wrapText="1"/>
    </xf>
    <xf numFmtId="0" fontId="3" fillId="34" borderId="1" applyAlignment="1" pivotButton="0" quotePrefix="0" xfId="0">
      <alignment horizontal="center" vertical="top" wrapText="1"/>
    </xf>
    <xf numFmtId="0" fontId="2" fillId="34" borderId="1" applyAlignment="1" pivotButton="0" quotePrefix="0" xfId="0">
      <alignment horizontal="center" vertical="top" wrapText="1"/>
    </xf>
    <xf numFmtId="2" fontId="2" fillId="34" borderId="1" applyAlignment="1" pivotButton="0" quotePrefix="0" xfId="0">
      <alignment horizontal="center" vertical="top"/>
    </xf>
    <xf numFmtId="0" fontId="3" fillId="16" borderId="1" applyAlignment="1" pivotButton="0" quotePrefix="0" xfId="0">
      <alignment horizontal="center" vertical="top" wrapText="1"/>
    </xf>
    <xf numFmtId="0" fontId="3" fillId="17" borderId="1" applyAlignment="1" pivotButton="0" quotePrefix="0" xfId="0">
      <alignment horizontal="center" vertical="top" wrapText="1"/>
    </xf>
    <xf numFmtId="0" fontId="8" fillId="0" borderId="0" applyAlignment="1" pivotButton="0" quotePrefix="0" xfId="0">
      <alignment vertical="top" wrapText="1"/>
    </xf>
    <xf numFmtId="0" fontId="0" fillId="0" borderId="0" applyAlignment="1" pivotButton="0" quotePrefix="0" xfId="0">
      <alignment vertical="top" wrapText="1"/>
    </xf>
    <xf numFmtId="0" fontId="9" fillId="35" borderId="1" applyAlignment="1" pivotButton="0" quotePrefix="0" xfId="0">
      <alignment horizontal="center" vertical="center" wrapText="1"/>
    </xf>
    <xf numFmtId="0" fontId="10" fillId="36" borderId="1" applyAlignment="1" pivotButton="0" quotePrefix="0" xfId="0">
      <alignment horizontal="center" vertical="center" wrapText="1"/>
    </xf>
    <xf numFmtId="0" fontId="11" fillId="37" borderId="1" applyAlignment="1" pivotButton="0" quotePrefix="0" xfId="0">
      <alignment horizontal="center" vertical="center" wrapText="1"/>
    </xf>
    <xf numFmtId="0" fontId="2" fillId="38" borderId="1" applyAlignment="1" pivotButton="0" quotePrefix="0" xfId="0">
      <alignment vertical="top" wrapText="1"/>
    </xf>
    <xf numFmtId="0" fontId="2" fillId="38" borderId="1" applyAlignment="1" pivotButton="0" quotePrefix="0" xfId="0">
      <alignment horizontal="center" vertical="top" wrapText="1"/>
    </xf>
    <xf numFmtId="2" fontId="2" fillId="38" borderId="1" applyAlignment="1" pivotButton="0" quotePrefix="0" xfId="0">
      <alignment horizontal="center" vertical="top"/>
    </xf>
    <xf numFmtId="0" fontId="0" fillId="36" borderId="2" applyAlignment="1" pivotButton="0" quotePrefix="0" xfId="0">
      <alignment vertical="top" wrapText="1"/>
    </xf>
    <xf numFmtId="0" fontId="0" fillId="37" borderId="2" applyAlignment="1" pivotButton="0" quotePrefix="0" xfId="0">
      <alignment vertical="top" wrapText="1"/>
    </xf>
    <xf numFmtId="0" fontId="0" fillId="39" borderId="2" applyAlignment="1" pivotButton="0" quotePrefix="0" xfId="0">
      <alignment vertical="top" wrapText="1"/>
    </xf>
    <xf numFmtId="0" fontId="0" fillId="35" borderId="2" applyAlignment="1" pivotButton="0" quotePrefix="0" xfId="0">
      <alignment vertical="top" wrapText="1"/>
    </xf>
    <xf numFmtId="0" fontId="2" fillId="40" borderId="1" applyAlignment="1" pivotButton="0" quotePrefix="0" xfId="0">
      <alignment vertical="top" wrapText="1"/>
    </xf>
    <xf numFmtId="0" fontId="2" fillId="40" borderId="1" applyAlignment="1" pivotButton="0" quotePrefix="0" xfId="0">
      <alignment horizontal="center" vertical="top" wrapText="1"/>
    </xf>
    <xf numFmtId="2" fontId="2" fillId="40" borderId="1" applyAlignment="1" pivotButton="0" quotePrefix="0" xfId="0">
      <alignment horizontal="center" vertical="top"/>
    </xf>
    <xf numFmtId="0" fontId="2" fillId="41" borderId="1" applyAlignment="1" pivotButton="0" quotePrefix="0" xfId="0">
      <alignment vertical="top" wrapText="1"/>
    </xf>
    <xf numFmtId="0" fontId="2" fillId="41" borderId="1" applyAlignment="1" pivotButton="0" quotePrefix="0" xfId="0">
      <alignment horizontal="center" vertical="top" wrapText="1"/>
    </xf>
    <xf numFmtId="2" fontId="2" fillId="41" borderId="1" applyAlignment="1" pivotButton="0" quotePrefix="0" xfId="0">
      <alignment horizontal="center" vertical="top"/>
    </xf>
    <xf numFmtId="0" fontId="2" fillId="42" borderId="1" applyAlignment="1" pivotButton="0" quotePrefix="0" xfId="0">
      <alignment vertical="top" wrapText="1"/>
    </xf>
    <xf numFmtId="0" fontId="2" fillId="42" borderId="1" applyAlignment="1" pivotButton="0" quotePrefix="0" xfId="0">
      <alignment horizontal="center" vertical="top" wrapText="1"/>
    </xf>
    <xf numFmtId="2" fontId="2" fillId="42" borderId="1" applyAlignment="1" pivotButton="0" quotePrefix="0" xfId="0">
      <alignment horizontal="center" vertical="top"/>
    </xf>
    <xf numFmtId="0" fontId="12" fillId="35" borderId="1" applyAlignment="1" pivotButton="0" quotePrefix="0" xfId="0">
      <alignment horizontal="center" vertical="center" wrapText="1"/>
    </xf>
    <xf numFmtId="0" fontId="13" fillId="36" borderId="1" applyAlignment="1" pivotButton="0" quotePrefix="0" xfId="0">
      <alignment horizontal="center" vertical="center" wrapText="1"/>
    </xf>
    <xf numFmtId="0" fontId="14" fillId="37" borderId="1" applyAlignment="1" pivotButton="0" quotePrefix="0" xfId="0">
      <alignment horizontal="center" vertical="center" wrapText="1"/>
    </xf>
    <xf numFmtId="0" fontId="2" fillId="43" borderId="1" applyAlignment="1" pivotButton="0" quotePrefix="0" xfId="0">
      <alignment vertical="top" wrapText="1"/>
    </xf>
    <xf numFmtId="2" fontId="2" fillId="43" borderId="1" applyAlignment="1" pivotButton="0" quotePrefix="0" xfId="0">
      <alignment horizontal="center" vertical="top"/>
    </xf>
    <xf numFmtId="164" fontId="2" fillId="25" borderId="1" applyAlignment="1" pivotButton="0" quotePrefix="0" xfId="0">
      <alignment horizontal="center" vertical="center"/>
    </xf>
    <xf numFmtId="0" fontId="2" fillId="25" borderId="1" applyAlignment="1" pivotButton="0" quotePrefix="0" xfId="0">
      <alignment horizontal="center" vertical="center"/>
    </xf>
    <xf numFmtId="164" fontId="2" fillId="26" borderId="1" applyAlignment="1" pivotButton="0" quotePrefix="0" xfId="0">
      <alignment horizontal="center" vertical="center"/>
    </xf>
    <xf numFmtId="0" fontId="2" fillId="26" borderId="1" applyAlignment="1" pivotButton="0" quotePrefix="0" xfId="0">
      <alignment horizontal="center" vertical="center"/>
    </xf>
    <xf numFmtId="164" fontId="2" fillId="27" borderId="1" applyAlignment="1" pivotButton="0" quotePrefix="0" xfId="0">
      <alignment horizontal="center" vertical="center"/>
    </xf>
    <xf numFmtId="0" fontId="2" fillId="27" borderId="1" applyAlignment="1" pivotButton="0" quotePrefix="0" xfId="0">
      <alignment horizontal="center" vertical="center"/>
    </xf>
    <xf numFmtId="164" fontId="2" fillId="20" borderId="1" applyAlignment="1" pivotButton="0" quotePrefix="0" xfId="0">
      <alignment horizontal="center" vertical="center"/>
    </xf>
    <xf numFmtId="164" fontId="2" fillId="21" borderId="1" applyAlignment="1" pivotButton="0" quotePrefix="0" xfId="0">
      <alignment horizontal="center" vertical="center"/>
    </xf>
    <xf numFmtId="164" fontId="2" fillId="22" borderId="1" applyAlignment="1" pivotButton="0" quotePrefix="0" xfId="0">
      <alignment horizontal="center" vertical="center"/>
    </xf>
    <xf numFmtId="164" fontId="2" fillId="23" borderId="1" applyAlignment="1" pivotButton="0" quotePrefix="0" xfId="0">
      <alignment horizontal="center" vertical="center"/>
    </xf>
    <xf numFmtId="164" fontId="2" fillId="28" borderId="1" applyAlignment="1" pivotButton="0" quotePrefix="0" xfId="0">
      <alignment horizontal="center" vertical="center"/>
    </xf>
    <xf numFmtId="164" fontId="2" fillId="42" borderId="1" applyAlignment="1" pivotButton="0" quotePrefix="0" xfId="0">
      <alignment horizontal="center" vertical="center"/>
    </xf>
    <xf numFmtId="164" fontId="2" fillId="40" borderId="1" applyAlignment="1" pivotButton="0" quotePrefix="0" xfId="0">
      <alignment horizontal="center" vertical="center"/>
    </xf>
    <xf numFmtId="164" fontId="2" fillId="41" borderId="1" applyAlignment="1" pivotButton="0" quotePrefix="0" xfId="0">
      <alignment horizontal="center" vertical="center"/>
    </xf>
    <xf numFmtId="164" fontId="2" fillId="29" borderId="1" applyAlignment="1" pivotButton="0" quotePrefix="0" xfId="0">
      <alignment horizontal="center" vertical="center"/>
    </xf>
    <xf numFmtId="0" fontId="2" fillId="29" borderId="1" applyAlignment="1" pivotButton="0" quotePrefix="0" xfId="0">
      <alignment horizontal="center" vertical="center"/>
    </xf>
    <xf numFmtId="164" fontId="2" fillId="38" borderId="1" applyAlignment="1" pivotButton="0" quotePrefix="0" xfId="0">
      <alignment horizontal="center" vertical="center"/>
    </xf>
    <xf numFmtId="164" fontId="2" fillId="32" borderId="1" applyAlignment="1" pivotButton="0" quotePrefix="0" xfId="0">
      <alignment horizontal="center" vertical="center"/>
    </xf>
    <xf numFmtId="164" fontId="2" fillId="30" borderId="1" applyAlignment="1" pivotButton="0" quotePrefix="0" xfId="0">
      <alignment horizontal="center" vertical="center"/>
    </xf>
    <xf numFmtId="164" fontId="2" fillId="31" borderId="1" applyAlignment="1" pivotButton="0" quotePrefix="0" xfId="0">
      <alignment horizontal="center" vertical="center"/>
    </xf>
    <xf numFmtId="164" fontId="2" fillId="43" borderId="1" applyAlignment="1" pivotButton="0" quotePrefix="0" xfId="0">
      <alignment horizontal="center" vertical="center"/>
    </xf>
    <xf numFmtId="164" fontId="2" fillId="33" borderId="1" applyAlignment="1" pivotButton="0" quotePrefix="0" xfId="0">
      <alignment horizontal="center" vertical="center"/>
    </xf>
    <xf numFmtId="0" fontId="2" fillId="33" borderId="1" applyAlignment="1" pivotButton="0" quotePrefix="0" xfId="0">
      <alignment horizontal="center" vertical="center"/>
    </xf>
    <xf numFmtId="164" fontId="2" fillId="34" borderId="1" applyAlignment="1" pivotButton="0" quotePrefix="0" xfId="0">
      <alignment horizontal="center" vertical="center"/>
    </xf>
    <xf numFmtId="164" fontId="2" fillId="16" borderId="1" applyAlignment="1" pivotButton="0" quotePrefix="0" xfId="0">
      <alignment horizontal="center" vertical="center"/>
    </xf>
    <xf numFmtId="164" fontId="2" fillId="17" borderId="1" applyAlignment="1" pivotButton="0" quotePrefix="0" xfId="0">
      <alignment horizontal="center" vertical="center"/>
    </xf>
    <xf numFmtId="0" fontId="15" fillId="0" borderId="0" pivotButton="0" quotePrefix="0" xfId="0"/>
    <xf numFmtId="0" fontId="16" fillId="19" borderId="2" applyAlignment="1" pivotButton="0" quotePrefix="0" xfId="0">
      <alignment vertical="bottom" wrapText="1"/>
    </xf>
    <xf numFmtId="0" fontId="16" fillId="19" borderId="2" applyAlignment="1" pivotButton="0" quotePrefix="0" xfId="0">
      <alignment vertical="bottom" textRotation="90"/>
    </xf>
    <xf numFmtId="0" fontId="17" fillId="0" borderId="2" applyAlignment="1" pivotButton="0" quotePrefix="0" xfId="0">
      <alignment vertical="center" wrapText="1"/>
    </xf>
    <xf numFmtId="2" fontId="0" fillId="44" borderId="2" applyAlignment="1" pivotButton="0" quotePrefix="0" xfId="0">
      <alignment horizontal="center" vertical="center"/>
    </xf>
    <xf numFmtId="2" fontId="17" fillId="36" borderId="2" applyAlignment="1" pivotButton="0" quotePrefix="0" xfId="0">
      <alignment horizontal="center" vertical="center"/>
    </xf>
    <xf numFmtId="2" fontId="17" fillId="45" borderId="2" applyAlignment="1" pivotButton="0" quotePrefix="0" xfId="0">
      <alignment horizontal="center" vertical="center"/>
    </xf>
    <xf numFmtId="0" fontId="18" fillId="0" borderId="2" applyAlignment="1" pivotButton="0" quotePrefix="0" xfId="0">
      <alignment vertical="top" wrapText="1"/>
    </xf>
    <xf numFmtId="0" fontId="18" fillId="0" borderId="0" applyAlignment="1" pivotButton="0" quotePrefix="0" xfId="0">
      <alignment vertical="top" wrapText="1"/>
    </xf>
    <xf numFmtId="0" fontId="16" fillId="19" borderId="2" applyAlignment="1" pivotButton="0" quotePrefix="0" xfId="0">
      <alignment vertical="bottom" textRotation="90"/>
    </xf>
    <xf numFmtId="0" fontId="17" fillId="0" borderId="2" applyAlignment="1" pivotButton="0" quotePrefix="0" xfId="0">
      <alignment vertical="top" wrapText="1"/>
    </xf>
    <xf numFmtId="2" fontId="0" fillId="46" borderId="2" applyAlignment="1" pivotButton="0" quotePrefix="0" xfId="0">
      <alignment horizontal="center" vertical="center"/>
    </xf>
    <xf numFmtId="0" fontId="19" fillId="0" borderId="2" applyAlignment="1" pivotButton="0" quotePrefix="0" xfId="0">
      <alignment vertical="top" wrapText="1"/>
    </xf>
    <xf numFmtId="0" fontId="19" fillId="0" borderId="2" applyAlignment="1" pivotButton="0" quotePrefix="0" xfId="0">
      <alignment horizontal="center" vertical="center"/>
    </xf>
    <xf numFmtId="0" fontId="16" fillId="19" borderId="2" applyAlignment="1" pivotButton="0" quotePrefix="0" xfId="0">
      <alignment vertical="bottom" textRotation="90"/>
    </xf>
    <xf numFmtId="0" fontId="20" fillId="46" borderId="2" applyAlignment="1" pivotButton="0" quotePrefix="0" xfId="0">
      <alignment horizontal="center" vertical="center"/>
    </xf>
    <xf numFmtId="2" fontId="20" fillId="36" borderId="2" applyAlignment="1" pivotButton="0" quotePrefix="0" xfId="0">
      <alignment horizontal="center" vertical="center"/>
    </xf>
    <xf numFmtId="2" fontId="20" fillId="45" borderId="2" applyAlignment="1" pivotButton="0" quotePrefix="0" xfId="0">
      <alignment horizontal="center" vertical="center"/>
    </xf>
    <xf numFmtId="0" fontId="20" fillId="39" borderId="2" applyAlignment="1" pivotButton="0" quotePrefix="0" xfId="0">
      <alignment horizontal="center" vertical="center"/>
    </xf>
    <xf numFmtId="0" fontId="16" fillId="19" borderId="2" applyAlignment="1" pivotButton="0" quotePrefix="0" xfId="0">
      <alignment vertical="bottom" textRotation="90"/>
    </xf>
    <xf numFmtId="0" fontId="47" fillId="48" borderId="2" applyAlignment="1" pivotButton="0" quotePrefix="0" xfId="0">
      <alignment horizontal="center" vertical="center"/>
    </xf>
    <xf numFmtId="0" fontId="0" fillId="0" borderId="5" pivotButton="0" quotePrefix="0" xfId="0"/>
    <xf numFmtId="0" fontId="0" fillId="0" borderId="6" pivotButton="0" quotePrefix="0" xfId="0"/>
    <xf numFmtId="0" fontId="48" fillId="36" borderId="2" applyAlignment="1" pivotButton="0" quotePrefix="0" xfId="0">
      <alignment horizontal="center" vertical="center"/>
    </xf>
    <xf numFmtId="0" fontId="49" fillId="0" borderId="0" applyAlignment="1" pivotButton="0" quotePrefix="0" xfId="0">
      <alignment vertical="center"/>
    </xf>
    <xf numFmtId="0" fontId="29" fillId="0" borderId="0" pivotButton="0" quotePrefix="0" xfId="0"/>
    <xf numFmtId="0" fontId="27" fillId="48" borderId="0" applyAlignment="1" pivotButton="0" quotePrefix="0" xfId="0">
      <alignment vertical="top" wrapText="1"/>
    </xf>
    <xf numFmtId="0" fontId="50" fillId="48" borderId="0" applyAlignment="1" pivotButton="0" quotePrefix="0" xfId="0">
      <alignment vertical="top" wrapText="1"/>
    </xf>
    <xf numFmtId="0" fontId="28" fillId="0" borderId="0" applyAlignment="1" pivotButton="0" quotePrefix="0" xfId="0">
      <alignment vertical="top" wrapText="1"/>
    </xf>
    <xf numFmtId="0" fontId="8" fillId="0" borderId="0" pivotButton="0" quotePrefix="0" xfId="0"/>
    <xf numFmtId="0" fontId="8" fillId="47" borderId="2" pivotButton="0" quotePrefix="0" xfId="0"/>
    <xf numFmtId="0" fontId="30" fillId="0" borderId="0" applyAlignment="1" pivotButton="0" quotePrefix="0" xfId="0">
      <alignment vertical="center" wrapText="1"/>
    </xf>
    <xf numFmtId="1" fontId="8" fillId="47" borderId="2" applyAlignment="1" pivotButton="0" quotePrefix="0" xfId="0">
      <alignment horizontal="center"/>
    </xf>
    <xf numFmtId="0" fontId="17" fillId="0" borderId="0" pivotButton="0" quotePrefix="0" xfId="0"/>
    <xf numFmtId="0" fontId="8" fillId="47" borderId="2" applyAlignment="1" pivotButton="0" quotePrefix="0" xfId="0">
      <alignment horizontal="center"/>
    </xf>
    <xf numFmtId="0" fontId="20" fillId="0" borderId="0" applyAlignment="1" pivotButton="0" quotePrefix="0" xfId="0">
      <alignment vertical="center" wrapText="1"/>
    </xf>
    <xf numFmtId="0" fontId="40" fillId="0" borderId="0" pivotButton="0" quotePrefix="0" xfId="0"/>
    <xf numFmtId="0" fontId="30" fillId="0" borderId="0" applyAlignment="1" pivotButton="0" quotePrefix="0" xfId="0">
      <alignment vertical="top" wrapText="1"/>
    </xf>
    <xf numFmtId="167" fontId="41" fillId="37" borderId="0" applyAlignment="1" pivotButton="0" quotePrefix="0" xfId="0">
      <alignment horizontal="center" vertical="center"/>
    </xf>
    <xf numFmtId="167" fontId="42" fillId="48" borderId="0" applyAlignment="1" pivotButton="0" quotePrefix="0" xfId="0">
      <alignment horizontal="center" vertical="center"/>
    </xf>
    <xf numFmtId="167" fontId="43" fillId="36" borderId="0" applyAlignment="1" pivotButton="0" quotePrefix="0" xfId="0">
      <alignment horizontal="center" vertical="center"/>
    </xf>
    <xf numFmtId="0" fontId="37" fillId="0" borderId="0" applyAlignment="1" pivotButton="0" quotePrefix="0" xfId="0">
      <alignment vertical="top" wrapText="1"/>
    </xf>
    <xf numFmtId="0" fontId="38" fillId="50" borderId="0" applyAlignment="1" pivotButton="0" quotePrefix="0" xfId="0">
      <alignment vertical="center"/>
    </xf>
    <xf numFmtId="0" fontId="38" fillId="50" borderId="0" applyAlignment="1" pivotButton="0" quotePrefix="0" xfId="0">
      <alignment horizontal="left" vertical="center"/>
    </xf>
    <xf numFmtId="0" fontId="39" fillId="46" borderId="0" applyAlignment="1" pivotButton="0" quotePrefix="0" xfId="0">
      <alignment vertical="center"/>
    </xf>
    <xf numFmtId="0" fontId="39" fillId="46" borderId="0" applyAlignment="1" pivotButton="0" quotePrefix="0" xfId="0">
      <alignment horizontal="left" vertical="center"/>
    </xf>
    <xf numFmtId="0" fontId="7" fillId="19" borderId="2" applyAlignment="1" pivotButton="0" quotePrefix="0" xfId="0">
      <alignment vertical="bottom" wrapText="1"/>
    </xf>
    <xf numFmtId="0" fontId="7" fillId="19" borderId="2" applyAlignment="1" pivotButton="0" quotePrefix="0" xfId="0">
      <alignment vertical="bottom" textRotation="90"/>
    </xf>
    <xf numFmtId="0" fontId="28" fillId="49" borderId="2" applyAlignment="1" pivotButton="0" quotePrefix="0" xfId="0">
      <alignment horizontal="center" vertical="top"/>
    </xf>
    <xf numFmtId="0" fontId="28" fillId="47" borderId="2" applyAlignment="1" pivotButton="0" quotePrefix="0" xfId="0">
      <alignment horizontal="center" vertical="top"/>
    </xf>
    <xf numFmtId="0" fontId="0" fillId="0" borderId="2" applyAlignment="1" pivotButton="0" quotePrefix="0" xfId="0">
      <alignment horizontal="center" vertical="top"/>
    </xf>
    <xf numFmtId="166" fontId="36" fillId="0" borderId="2" applyAlignment="1" pivotButton="0" quotePrefix="0" xfId="0">
      <alignment horizontal="center" vertical="top"/>
    </xf>
    <xf numFmtId="2" fontId="19" fillId="0" borderId="2" applyAlignment="1" pivotButton="0" quotePrefix="0" xfId="0">
      <alignment horizontal="center" vertical="top"/>
    </xf>
    <xf numFmtId="2" fontId="19" fillId="36" borderId="2" applyAlignment="1" pivotButton="0" quotePrefix="0" xfId="0">
      <alignment horizontal="center" vertical="top"/>
    </xf>
    <xf numFmtId="0" fontId="31" fillId="0" borderId="2" applyAlignment="1" pivotButton="0" quotePrefix="0" xfId="0">
      <alignment vertical="top" wrapText="1"/>
    </xf>
    <xf numFmtId="0" fontId="26" fillId="0" borderId="2" applyAlignment="1" pivotButton="0" quotePrefix="0" xfId="0">
      <alignment vertical="top" wrapText="1"/>
    </xf>
    <xf numFmtId="2" fontId="32" fillId="35" borderId="2" applyAlignment="1" pivotButton="0" quotePrefix="0" xfId="0">
      <alignment horizontal="center" vertical="top"/>
    </xf>
    <xf numFmtId="0" fontId="17" fillId="27" borderId="2" applyAlignment="1" pivotButton="0" quotePrefix="0" xfId="0">
      <alignment vertical="top" wrapText="1"/>
    </xf>
    <xf numFmtId="0" fontId="28" fillId="27" borderId="2" applyAlignment="1" pivotButton="0" quotePrefix="0" xfId="0">
      <alignment horizontal="center" vertical="top"/>
    </xf>
    <xf numFmtId="0" fontId="18" fillId="27" borderId="2" applyAlignment="1" pivotButton="0" quotePrefix="0" xfId="0">
      <alignment vertical="top" wrapText="1"/>
    </xf>
    <xf numFmtId="0" fontId="0" fillId="27" borderId="2" applyAlignment="1" pivotButton="0" quotePrefix="0" xfId="0">
      <alignment horizontal="center" vertical="top"/>
    </xf>
    <xf numFmtId="0" fontId="0" fillId="27" borderId="2" pivotButton="0" quotePrefix="0" xfId="0"/>
    <xf numFmtId="2" fontId="19" fillId="27" borderId="2" applyAlignment="1" pivotButton="0" quotePrefix="0" xfId="0">
      <alignment horizontal="center" vertical="top"/>
    </xf>
    <xf numFmtId="0" fontId="31" fillId="27" borderId="2" applyAlignment="1" pivotButton="0" quotePrefix="0" xfId="0">
      <alignment vertical="top" wrapText="1"/>
    </xf>
    <xf numFmtId="0" fontId="26" fillId="27" borderId="2" applyAlignment="1" pivotButton="0" quotePrefix="0" xfId="0">
      <alignment vertical="top" wrapText="1"/>
    </xf>
    <xf numFmtId="2" fontId="32" fillId="27" borderId="2" applyAlignment="1" pivotButton="0" quotePrefix="0" xfId="0">
      <alignment horizontal="center" vertical="top"/>
    </xf>
    <xf numFmtId="0" fontId="33" fillId="0" borderId="0" pivotButton="0" quotePrefix="0" xfId="0"/>
    <xf numFmtId="0" fontId="34" fillId="0" borderId="0" pivotButton="0" quotePrefix="0" xfId="0"/>
    <xf numFmtId="164" fontId="34" fillId="0" borderId="0" pivotButton="0" quotePrefix="0" xfId="0"/>
    <xf numFmtId="1" fontId="0" fillId="0" borderId="0" pivotButton="0" quotePrefix="0" xfId="0"/>
    <xf numFmtId="164" fontId="0" fillId="0" borderId="0" pivotButton="0" quotePrefix="0" xfId="0"/>
    <xf numFmtId="165" fontId="0" fillId="0" borderId="0" pivotButton="0" quotePrefix="0" xfId="0"/>
    <xf numFmtId="2" fontId="34" fillId="0" borderId="0" pivotButton="0" quotePrefix="0" xfId="0"/>
    <xf numFmtId="0" fontId="19" fillId="0" borderId="0" pivotButton="0" quotePrefix="0" xfId="0"/>
    <xf numFmtId="0" fontId="35" fillId="0" borderId="0" pivotButton="0" quotePrefix="0" xfId="0"/>
    <xf numFmtId="2" fontId="0" fillId="0" borderId="0" pivotButton="0" quotePrefix="0" xfId="0"/>
    <xf numFmtId="0" fontId="21" fillId="0" borderId="0" pivotButton="0" quotePrefix="0" xfId="0"/>
    <xf numFmtId="0" fontId="22" fillId="0" borderId="0" pivotButton="0" quotePrefix="0" xfId="0"/>
    <xf numFmtId="0" fontId="23" fillId="0" borderId="0" applyAlignment="1" pivotButton="0" quotePrefix="0" xfId="0">
      <alignment vertical="top" wrapText="1"/>
    </xf>
    <xf numFmtId="0" fontId="18" fillId="0" borderId="2" applyAlignment="1" pivotButton="0" quotePrefix="0" xfId="0">
      <alignment vertical="center" wrapText="1"/>
    </xf>
    <xf numFmtId="2" fontId="24" fillId="47" borderId="2" applyAlignment="1" pivotButton="0" quotePrefix="0" xfId="0">
      <alignment horizontal="center" vertical="center"/>
    </xf>
    <xf numFmtId="2" fontId="25" fillId="0" borderId="2" applyAlignment="1" pivotButton="0" quotePrefix="0" xfId="0">
      <alignment horizontal="center" vertical="center"/>
    </xf>
    <xf numFmtId="0" fontId="26" fillId="0" borderId="2" applyAlignment="1" pivotButton="0" quotePrefix="0" xfId="0">
      <alignment vertical="center" wrapText="1"/>
    </xf>
    <xf numFmtId="1" fontId="24" fillId="47" borderId="2" applyAlignment="1" pivotButton="0" quotePrefix="0" xfId="0">
      <alignment horizontal="center" vertical="center"/>
    </xf>
    <xf numFmtId="1" fontId="25" fillId="0" borderId="2" applyAlignment="1" pivotButton="0" quotePrefix="0" xfId="0">
      <alignment horizontal="center" vertical="center"/>
    </xf>
    <xf numFmtId="0" fontId="24" fillId="47" borderId="2" applyAlignment="1" pivotButton="0" quotePrefix="0" xfId="0">
      <alignment horizontal="center" vertical="center"/>
    </xf>
    <xf numFmtId="0" fontId="25" fillId="0" borderId="2" applyAlignment="1" pivotButton="0" quotePrefix="0" xfId="0">
      <alignment horizontal="center" vertical="center"/>
    </xf>
    <xf numFmtId="164" fontId="24" fillId="47" borderId="2" applyAlignment="1" pivotButton="0" quotePrefix="0" xfId="0">
      <alignment horizontal="center" vertical="center"/>
    </xf>
    <xf numFmtId="164" fontId="25" fillId="0" borderId="2" applyAlignment="1" pivotButton="0" quotePrefix="0" xfId="0">
      <alignment horizontal="center" vertical="center"/>
    </xf>
    <xf numFmtId="165" fontId="24" fillId="47" borderId="2" applyAlignment="1" pivotButton="0" quotePrefix="0" xfId="0">
      <alignment horizontal="center" vertical="center"/>
    </xf>
    <xf numFmtId="165" fontId="25" fillId="0" borderId="2" applyAlignment="1" pivotButton="0" quotePrefix="0" xfId="0">
      <alignment horizontal="center" vertical="center"/>
    </xf>
    <xf numFmtId="0" fontId="18" fillId="0" borderId="0" pivotButton="0" quotePrefix="0" xfId="0"/>
    <xf numFmtId="164" fontId="24" fillId="0" borderId="2" applyAlignment="1" pivotButton="0" quotePrefix="0" xfId="0">
      <alignment horizontal="center"/>
    </xf>
    <xf numFmtId="0" fontId="30" fillId="0" borderId="0" pivotButton="0" quotePrefix="0" xfId="0"/>
    <xf numFmtId="165" fontId="24" fillId="0" borderId="2" applyAlignment="1" pivotButton="0" quotePrefix="0" xfId="0">
      <alignment horizontal="center"/>
    </xf>
    <xf numFmtId="0" fontId="44" fillId="45" borderId="2" applyAlignment="1" pivotButton="0" quotePrefix="0" xfId="0">
      <alignment horizontal="center"/>
    </xf>
    <xf numFmtId="0" fontId="17" fillId="0" borderId="2" pivotButton="0" quotePrefix="0" xfId="0"/>
    <xf numFmtId="165" fontId="18" fillId="0" borderId="2" pivotButton="0" quotePrefix="0" xfId="0"/>
    <xf numFmtId="164" fontId="18" fillId="0" borderId="2" pivotButton="0" quotePrefix="0" xfId="0"/>
    <xf numFmtId="9" fontId="18" fillId="0" borderId="2" pivotButton="0" quotePrefix="0" xfId="0"/>
    <xf numFmtId="168" fontId="0" fillId="0" borderId="0" pivotButton="0" quotePrefix="0" xfId="0"/>
    <xf numFmtId="0" fontId="17" fillId="37" borderId="2" pivotButton="0" quotePrefix="0" xfId="0"/>
    <xf numFmtId="165" fontId="17" fillId="37" borderId="2" pivotButton="0" quotePrefix="0" xfId="0"/>
    <xf numFmtId="164" fontId="17" fillId="37" borderId="2" pivotButton="0" quotePrefix="0" xfId="0"/>
    <xf numFmtId="9" fontId="17" fillId="37" borderId="2" pivotButton="0" quotePrefix="0" xfId="0"/>
    <xf numFmtId="2" fontId="24" fillId="0" borderId="2" applyAlignment="1" pivotButton="0" quotePrefix="0" xfId="0">
      <alignment horizontal="center"/>
    </xf>
    <xf numFmtId="165" fontId="45" fillId="48" borderId="2" applyAlignment="1" pivotButton="0" quotePrefix="0" xfId="0">
      <alignment horizontal="center"/>
    </xf>
    <xf numFmtId="165" fontId="46" fillId="36" borderId="2" applyAlignment="1" pivotButton="0" quotePrefix="0" xfId="0">
      <alignment horizontal="center"/>
    </xf>
    <xf numFmtId="1" fontId="18" fillId="0" borderId="2" pivotButton="0" quotePrefix="0" xfId="0"/>
  </cellXfs>
  <cellStyles count="1">
    <cellStyle name="Normal" xfId="0" builtinId="0" hidden="0"/>
  </cellStyles>
  <dxfs count="1">
    <dxf>
      <fill>
        <patternFill patternType="solid">
          <fgColor rgb="00C00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summaryRight="1"/>
    <pageSetUpPr/>
  </sheetPr>
  <dimension ref="A1:AC355"/>
  <sheetViews>
    <sheetView workbookViewId="0">
      <pane ySplit="1" topLeftCell="A2" activePane="bottomLeft" state="frozen"/>
      <selection pane="bottomLeft" activeCell="A1" sqref="A1"/>
    </sheetView>
  </sheetViews>
  <sheetFormatPr baseColWidth="8" defaultRowHeight="15"/>
  <cols>
    <col width="33" customWidth="1" min="1" max="1"/>
    <col width="9" customWidth="1" min="2" max="2"/>
    <col width="9" customWidth="1" min="3" max="3"/>
    <col width="19" customWidth="1" min="4" max="4"/>
    <col width="8" customWidth="1" min="5" max="5"/>
    <col width="8" customWidth="1" min="6" max="6"/>
    <col width="6.6" customWidth="1" min="7" max="7"/>
    <col width="6.6" customWidth="1" min="8" max="8"/>
    <col width="6.6" customWidth="1" min="9" max="9"/>
    <col width="6.6" customWidth="1" min="10" max="10"/>
    <col width="6.6" customWidth="1" min="11" max="11"/>
    <col width="6.6" customWidth="1" min="12" max="12"/>
    <col width="6.6" customWidth="1" min="13" max="13"/>
    <col width="6.6" customWidth="1" min="14" max="14"/>
    <col width="6.6" customWidth="1" min="15" max="15"/>
    <col width="6.6" customWidth="1" min="16" max="16"/>
    <col width="6.6" customWidth="1" min="17" max="17"/>
    <col width="6.6" customWidth="1" min="18" max="18"/>
    <col width="6.6" customWidth="1" min="19" max="19"/>
    <col width="6.6" customWidth="1" min="20" max="20"/>
    <col width="6.6" customWidth="1" min="21" max="21"/>
    <col width="6.6" customWidth="1" min="22" max="22"/>
    <col width="40" customWidth="1" min="23" max="23"/>
    <col width="54" customWidth="1" min="24" max="24"/>
    <col hidden="1" width="13" customWidth="1" min="26" max="26"/>
    <col hidden="1" width="13" customWidth="1" min="27" max="27"/>
    <col hidden="1" width="13" customWidth="1" min="28" max="28"/>
    <col hidden="1" width="13" customWidth="1" min="29" max="29"/>
  </cols>
  <sheetData>
    <row r="1" ht="22" customHeight="1">
      <c r="A1" s="197" t="inlineStr">
        <is>
          <t>Stack-Planer</t>
        </is>
      </c>
      <c r="B1" s="217">
        <f>"Jetzt "&amp;TEXT(G$89,"0")&amp;" Jahre"</f>
        <v/>
      </c>
      <c r="C1" s="218" t="n"/>
      <c r="D1" s="219" t="n"/>
      <c r="E1" s="220">
        <f>"Nach Massnahmen "&amp;TEXT(G$90,"0")&amp;" Jahre"</f>
        <v/>
      </c>
      <c r="F1" s="218" t="n"/>
      <c r="G1" s="218" t="n"/>
      <c r="H1" s="218" t="n"/>
      <c r="I1" s="218" t="n"/>
      <c r="J1" s="218" t="n"/>
      <c r="K1" s="219" t="n"/>
      <c r="L1" s="221">
        <f>"Punkte: "&amp;TEXT($A$24,"0")&amp;" Ausgang, "&amp;TEXT($C$24,"0")&amp;" real, "&amp;TEXT($G$24,"0")&amp;" nach den Massnahmen. Rechenweg: Blatt Parameter."</f>
        <v/>
      </c>
      <c r="Z1" s="222" t="inlineStr">
        <is>
          <t>Natty oder TRT (400-1000 ng/dl)</t>
        </is>
      </c>
    </row>
    <row r="2" ht="30.5" customHeight="1">
      <c r="A2" s="146" t="inlineStr">
        <is>
          <t>Oben eintragen, was tatsaechlich laeuft und was das letzte Blutbild sagt. Unten ankreuzen, was bereits eingenommen wird und was dazukommen soll. Die drei Scores rechnen sich in Excel sofort neu, ohne dass das Programm nochmal laufen muss. Es wird nichts gespeichert und nichts an die Auswertung zurueckgemeldet.</t>
        </is>
      </c>
      <c r="Z2" s="222" t="inlineStr">
        <is>
          <t>TRT plus (1000-1400 ng/dl)</t>
        </is>
      </c>
    </row>
    <row r="3" ht="30.5" customHeight="1">
      <c r="A3" s="223" t="inlineStr">
        <is>
          <t>KEINE THERAPIEEMPFEHLUNG. Ein Rechenmodell aus durchschnittlichen Studieneffekten, mehr nicht. Was in einen konkreten Stack gehoert, gehoert mit einem Arzt und einem erfahrenen Coach besprochen.</t>
        </is>
      </c>
      <c r="Z3" s="222" t="inlineStr">
        <is>
          <t>Blast moderat (250-350 mg/Woche)</t>
        </is>
      </c>
    </row>
    <row r="4" ht="52" customHeight="1">
      <c r="A4" s="224" t="inlineStr">
        <is>
          <t>AUSGANGSWERT 80: diese Mappe kennt keine DNA-Auswertung, deshalb wird eine durchschnittliche Anlage unterstellt - jede Kategorie sitzt auf demselben Index. Im Auslieferungszustand (nichts gemessen, Natty oder TRT, keine Orale, nichts angehakt) stehen deshalb genau 80 Punkte da. Wer alle sieben Blutwerte im gruenen Band eintraegt, landet darueber; wer Load, Orale oder schlechte Werte eintraegt, darunter. Mit einer echten DNA-Auswertung steht an dieser Stelle der persoenliche Wert, und die Maluspunkte verteilen sich ungleich auf die Kategorien statt gleichmaessig. KEINE THERAPIEEMPFEHLUNG - Stacks gehoeren mit Arzt und Coach besprochen.</t>
        </is>
      </c>
      <c r="Z4" s="222" t="inlineStr">
        <is>
          <t>Blast fortgeschritten (500-750 mg/Woche)</t>
        </is>
      </c>
    </row>
    <row r="5" ht="18.5" customHeight="1">
      <c r="A5" s="225" t="inlineStr">
        <is>
          <t>1. Was laeuft</t>
        </is>
      </c>
      <c r="Z5" s="222" t="inlineStr">
        <is>
          <t>Blast Profi (1 g und mehr)</t>
        </is>
      </c>
    </row>
    <row r="6" ht="16" customHeight="1">
      <c r="A6" s="226" t="inlineStr">
        <is>
          <t>Gesamt-Load</t>
        </is>
      </c>
      <c r="C6" s="227" t="inlineStr">
        <is>
          <t>Natty oder TRT (400-1000 ng/dl)</t>
        </is>
      </c>
      <c r="D6" s="218" t="n"/>
      <c r="E6" s="218" t="n"/>
      <c r="F6" s="219" t="n"/>
      <c r="G6" s="228" t="inlineStr">
        <is>
          <t>Hebt die Maluspunkte in allen Kategorien OHNE eigenen Blutwert. Wo gemessen wurde, steckt die Dosis bereits im Wert.</t>
        </is>
      </c>
    </row>
    <row r="7" ht="23.5" customHeight="1">
      <c r="A7" s="226" t="inlineStr">
        <is>
          <t>Anwendungsart</t>
        </is>
      </c>
      <c r="C7" s="227" t="inlineStr">
        <is>
          <t>Dauerblast (durchgehend)</t>
        </is>
      </c>
      <c r="D7" s="218" t="n"/>
      <c r="E7" s="218" t="n"/>
      <c r="F7" s="219" t="n"/>
      <c r="G7" s="228" t="inlineStr">
        <is>
          <t>Blast and Cruise zaehlt nur als solches, wenn die Pause so lang ist wie der Block (Time On = Time Off, dazwischen echtes TRT). Alles andere ist Dauerblast mit Zwischenstopps - dann die erste Option waehlen. Ab Natty/TRT ohne Wirkung, weil es dort keinen Ueberschuss zu daempfen gibt.</t>
        </is>
      </c>
      <c r="Z7" s="222" t="inlineStr">
        <is>
          <t>Dauerblast (durchgehend)</t>
        </is>
      </c>
    </row>
    <row r="8" ht="23.5" customHeight="1">
      <c r="A8" s="226" t="inlineStr">
        <is>
          <t>Geplante Anwendungsdauer</t>
        </is>
      </c>
      <c r="C8" s="227" t="inlineStr">
        <is>
          <t>15 Jahre</t>
        </is>
      </c>
      <c r="D8" s="218" t="n"/>
      <c r="E8" s="218" t="n"/>
      <c r="F8" s="219" t="n"/>
      <c r="G8" s="228" t="inlineStr">
        <is>
          <t>So viele Jahre laeuft die Last. Sie aendert den Score NICHT - der sagt, wie hart gerade gefahren wird. Sie aendert das Endalter: jedes Jahr unter Last kostet einzeln, und zwar umso mehr, je aelter man in diesem Jahr ist. Die letzte Stufe hat kein Ende - da laeuft die Uhr, bis das Budget leer ist.</t>
        </is>
      </c>
      <c r="Z8" s="222" t="inlineStr">
        <is>
          <t>Blast and Cruise (Time On = Time Off)</t>
        </is>
      </c>
    </row>
    <row r="9" ht="23.5" customHeight="1">
      <c r="A9" s="226" t="inlineStr">
        <is>
          <t>Alter (Jahre)</t>
        </is>
      </c>
      <c r="C9" s="229" t="n">
        <v>30</v>
      </c>
      <c r="D9" s="218" t="n"/>
      <c r="E9" s="218" t="n"/>
      <c r="F9" s="219" t="n"/>
      <c r="G9" s="228">
        <f>" Daraus: "&amp;IF(G$87&gt;900,"Last ohne Ausstieg",TEXT(G$87,"0")&amp;" Jahre unter Last")&amp;". Ein Lebensjahr kostet in diesem Alter das "&amp;TEXT(Parameter!$D$120,"0.00")&amp;"-fache, unter diesem Stack das "&amp;TEXT(Parameter!$D$123*Parameter!$D$120,"0.00")&amp;"-fache. Das Endalter steht oben in der "&amp;"angehefteten Zeile."</f>
        <v/>
      </c>
    </row>
    <row r="10">
      <c r="Z10" s="222" t="inlineStr">
        <is>
          <t>&lt;5 Jahre</t>
        </is>
      </c>
    </row>
    <row r="11" ht="18.5" customHeight="1">
      <c r="A11" s="225" t="inlineStr">
        <is>
          <t>2. Aktuelle Blutwerte</t>
        </is>
      </c>
      <c r="Z11" s="222" t="inlineStr">
        <is>
          <t>10 Jahre</t>
        </is>
      </c>
    </row>
    <row r="12" ht="30.5" customHeight="1">
      <c r="A12" s="146" t="inlineStr">
        <is>
          <t>Leer lassen, was nicht gemessen ist - dann rechnet das Blatt fuer diese Kategorie mit der Genetik weiter. Ein eingetragener Wert zaehlt zu 75 Prozent, die Anlage bleibt mit 25 Prozent stehen: eine einzelne Messung ist eine Momentaufnahme. Wo ein guter Wert steht, hat die passende Massnahme nichts mehr zu holen - genau so soll es sein.</t>
        </is>
      </c>
      <c r="Z12" s="222" t="inlineStr">
        <is>
          <t>15 Jahre</t>
        </is>
      </c>
    </row>
    <row r="13" ht="22" customHeight="1">
      <c r="A13" s="76" t="inlineStr">
        <is>
          <t>Wert</t>
        </is>
      </c>
      <c r="B13" s="76" t="inlineStr"/>
      <c r="C13" s="76" t="inlineStr">
        <is>
          <t>Eingabe</t>
        </is>
      </c>
      <c r="D13" s="218" t="n"/>
      <c r="E13" s="218" t="n"/>
      <c r="F13" s="219" t="n"/>
      <c r="G13" s="76" t="inlineStr">
        <is>
          <t>Baender (gut / mittel / schlecht)</t>
        </is>
      </c>
      <c r="H13" s="218" t="n"/>
      <c r="I13" s="218" t="n"/>
      <c r="J13" s="218" t="n"/>
      <c r="K13" s="218" t="n"/>
      <c r="L13" s="218" t="n"/>
      <c r="M13" s="218" t="n"/>
      <c r="N13" s="219" t="n"/>
      <c r="O13" s="76" t="inlineStr">
        <is>
          <t>Hinweis</t>
        </is>
      </c>
      <c r="P13" s="218" t="n"/>
      <c r="Q13" s="218" t="n"/>
      <c r="R13" s="218" t="n"/>
      <c r="S13" s="218" t="n"/>
      <c r="T13" s="218" t="n"/>
      <c r="U13" s="218" t="n"/>
      <c r="V13" s="218" t="n"/>
      <c r="W13" s="218" t="n"/>
      <c r="X13" s="219" t="n"/>
      <c r="Z13" s="222" t="inlineStr">
        <is>
          <t>bis dass der Tod uns scheidet</t>
        </is>
      </c>
    </row>
    <row r="14" ht="44.5" customHeight="1">
      <c r="A14" s="230" t="inlineStr">
        <is>
          <t>Blutdruck systolisch (mmHg)</t>
        </is>
      </c>
      <c r="C14" s="231" t="inlineStr"/>
      <c r="D14" s="218" t="n"/>
      <c r="E14" s="218" t="n"/>
      <c r="F14" s="219" t="n"/>
      <c r="G14" s="232" t="inlineStr">
        <is>
          <t>unter 115   /   115 bis 125   /   125 bis 140   /   ab 140</t>
        </is>
      </c>
      <c r="O14" s="228" t="inlineStr">
        <is>
          <t>In Ruhe und an mehreren Tagen gemessen, nicht direkt nach dem Training. Das Risiko steigt in den grossen Kohorten durchgehend ab 115/75 mmHg - es gibt keinen Sockel, unterhalb dessen es egal waere, deshalb liegt das Optimum unter 115. Die ESC nennt ab 120 erhoeht und ab 140 Bluthochdruck; ab 140 steht hier der Endlevel, weil dort gehandelt werden muss und nicht erst bei Grad 2 (160).</t>
        </is>
      </c>
    </row>
    <row r="15" ht="55" customHeight="1">
      <c r="A15" s="230" t="inlineStr">
        <is>
          <t>Haematokrit (%)</t>
        </is>
      </c>
      <c r="C15" s="231" t="inlineStr"/>
      <c r="D15" s="218" t="n"/>
      <c r="E15" s="218" t="n"/>
      <c r="F15" s="219" t="n"/>
      <c r="G15" s="232" t="inlineStr">
        <is>
          <t>unter 45   /   45 bis 50   /   50 bis 54   /   ueber 54</t>
        </is>
      </c>
      <c r="O15" s="228" t="inlineStr">
        <is>
          <t>Der Wert, wegen dem die Blutspende auf dem Plan steht. 45 und 48 sind nicht dasselbe: die Blutviskositaet steigt oberhalb von rund 45 Prozent ueberproportional, und schon innerhalb des Normbereichs haben die oberen Quartile mehr Thrombosen und Herzereignisse. Deshalb liegt das Optimum unter 45, auch wenn 52 offiziell noch normal ist. Ab 48 wuerde kein Arzt eine Testosterontherapie neu beginnen, ueber 54 heisst es in der Leitlinie: Dosis runter, absetzen oder Aderlass. Nach unten hat der Wert eine Grenze, die das Modell nicht kennt - unter 38 wird es Blutarmut.</t>
        </is>
      </c>
      <c r="Z15" s="222" t="inlineStr">
        <is>
          <t>nicht gemessen</t>
        </is>
      </c>
    </row>
    <row r="16" ht="55" customHeight="1">
      <c r="A16" s="230" t="inlineStr">
        <is>
          <t>LDL-Cholesterin (mmol/l)</t>
        </is>
      </c>
      <c r="C16" s="231" t="inlineStr"/>
      <c r="D16" s="218" t="n"/>
      <c r="E16" s="218" t="n"/>
      <c r="F16" s="219" t="n"/>
      <c r="G16" s="232" t="inlineStr">
        <is>
          <t>unter 1,4 (55 mg/dl)   /   1,4 bis 2,6 (55-100 mg/dl)   /   2,6 bis 3,4 (100-130 mg/dl)   /   ueber 3,4 (ueber 130 mg/dl)</t>
        </is>
      </c>
      <c r="O16" s="228" t="inlineStr">
        <is>
          <t>Das Optimum ist der ESC/EAS-Zielwert fuer SEHR hohes Risiko: unter 1,4 mmol/l (55 mg/dl). Genau dort steht ein langjaehriger Nutzer, und eine untere Schwelle, ab der es nicht mehr besser wird, ist bis heute nicht gefunden worden - ein Neugeborenes hat rund 30 mg/dl. 1,8 (70 mg/dl) ist die Behandlungsschwelle bei hohem Risiko, kein Optimum. Der Endlevel liegt bei 3,4 (130 mg/dl), nicht erst bei 4,1 (160): 160 ist die Marke fuer eine manifeste Hypercholesterinaemie, und als Alarm ist das zu spaet. Hier bringt ein Statin am meisten.</t>
        </is>
      </c>
      <c r="Z16" s="222" t="inlineStr">
        <is>
          <t>unter 115</t>
        </is>
      </c>
    </row>
    <row r="17" ht="44.5" customHeight="1">
      <c r="A17" s="230" t="inlineStr">
        <is>
          <t>HDL-Cholesterin (mmol/l)</t>
        </is>
      </c>
      <c r="C17" s="231" t="inlineStr"/>
      <c r="D17" s="218" t="n"/>
      <c r="E17" s="218" t="n"/>
      <c r="F17" s="219" t="n"/>
      <c r="G17" s="232" t="inlineStr">
        <is>
          <t>ueber 1,3 (50 mg/dl)   /   1,0 bis 1,3 (39-50 mg/dl)   /   0,6 bis 1,0 (23-39 mg/dl)   /   unter 0,6 (unter 23 mg/dl)</t>
        </is>
      </c>
      <c r="O17" s="228" t="inlineStr">
        <is>
          <t>ACHTUNG umgekehrte Richtung: hier ist HOCH gut. Unter 1,0 mmol/l (40 mg/dl) gilt beim Mann als erniedrigt, aber der Risikoabfall geht bis rund 1,5 (60 mg/dl) weiter - deshalb liegt das Optimum ueber 1,3 (50 mg/dl) und nicht knapp ueber der Grenze zum Krankhaften. Der Endlevel liegt bei 0,6 (23 mg/dl): wer bei 0,4 ankommt, braucht keine Warnung mehr. Sehr hohe Werte ueber 2,3 (90 mg/dl) sind uebrigens auch nicht besser, aber das ist nicht das Problem dieser Gruppe.</t>
        </is>
      </c>
      <c r="Z17" s="222" t="inlineStr">
        <is>
          <t>115 bis 125</t>
        </is>
      </c>
    </row>
    <row r="18" ht="34" customHeight="1">
      <c r="A18" s="230" t="inlineStr">
        <is>
          <t>Triglyzeride (mmol/l)</t>
        </is>
      </c>
      <c r="C18" s="231" t="inlineStr"/>
      <c r="D18" s="218" t="n"/>
      <c r="E18" s="218" t="n"/>
      <c r="F18" s="219" t="n"/>
      <c r="G18" s="232" t="inlineStr">
        <is>
          <t>unter 1,0 (89 mg/dl)   /   1,0 bis 1,7 (89-150 mg/dl)   /   1,7 bis 3,4 (150-300 mg/dl)   /   ueber 3,4 (ueber 300 mg/dl)</t>
        </is>
      </c>
      <c r="O18" s="228" t="inlineStr">
        <is>
          <t>Nuechtern gemessen, sonst ist der Wert wertlos. 1,7 mmol/l (150 mg/dl) heisst nur noch normal; das Optimum liegt unter 1,0 (89 mg/dl), und dort sitzen auch die Leute mit der besten Insulinlage. Der Endlevel steht bei 3,4 (300 mg/dl) - die 5,6 (500 mg/dl), ab denen die Bauchspeicheldruese gefaehrdet ist, sind der Notfall, und ein Notfall ist keine Warnung mehr.</t>
        </is>
      </c>
      <c r="Z18" s="222" t="inlineStr">
        <is>
          <t>125 bis 140</t>
        </is>
      </c>
    </row>
    <row r="19" ht="44.5" customHeight="1">
      <c r="A19" s="230" t="inlineStr">
        <is>
          <t>Nuechternglukose (mg/dl)</t>
        </is>
      </c>
      <c r="C19" s="231" t="inlineStr"/>
      <c r="D19" s="218" t="n"/>
      <c r="E19" s="218" t="n"/>
      <c r="F19" s="219" t="n"/>
      <c r="G19" s="232" t="inlineStr">
        <is>
          <t>unter 80 (4,4 mmol/l)   /   80 bis 95 (4,4-5,3 mmol/l)   /   95 bis 110 (5,3-6,1 mmol/l)   /   ab 110 (ab 6,1 mmol/l)</t>
        </is>
      </c>
      <c r="O19" s="228" t="inlineStr">
        <is>
          <t>Nuechtern heisst acht Stunden nichts gegessen. Der Risikoanstieg beginnt in den Kohorten deutlich vor 100 mg/dl, also vor der offiziellen Praediabetesgrenze - deshalb liegt das Optimum unter 80. Nach ADA ist 100 bis 125 mg/dl Praediabetes und ab 126 Diabetes; der Endlevel steht hier schon bei 110, wo die WHO von einer gestoerten Nuechternglukose spricht. Eine Warnung, die auf die Diagnose wartet, ist keine mehr. Alternativ HbA1c: unter 5,0 / 5,0 bis 5,4 / 5,4 bis 5,8 / ab 5,8 Prozent.</t>
        </is>
      </c>
      <c r="Z19" s="222" t="inlineStr">
        <is>
          <t>ab 140</t>
        </is>
      </c>
    </row>
    <row r="20" ht="76" customHeight="1">
      <c r="A20" s="230" t="inlineStr">
        <is>
          <t>Cystatin C (mg/l oder Kreatinin-eGFR)</t>
        </is>
      </c>
      <c r="C20" s="231" t="inlineStr"/>
      <c r="D20" s="218" t="n"/>
      <c r="E20" s="218" t="n"/>
      <c r="F20" s="219" t="n"/>
      <c r="G20" s="232" t="inlineStr">
        <is>
          <t>unter 0,80 (eGFR ueber 110)   /   0,80 bis 1,00 (eGFR 85-110)   /   1,00 bis 1,30 (eGFR 60-85)   /   ueber 1,30 (eGFR unter 60)</t>
        </is>
      </c>
      <c r="O20" s="228" t="inlineStr">
        <is>
          <t>Besser als Kreatinin, weil unabhaengig von der Muskelmasse - bei Kraftsportlern ist Kreatinin systematisch zu hoch. Die Klammerwerte sind die eGFR nach CKD-EPI fuer einen 40-jaehrigen Mann. Der Normbereich reicht bis 1,0, aber Sterblichkeit und Herzereignisse steigen schon innerhalb davon - deshalb liegt das Optimum unter 0,80. Der Endlevel steht bei 1,30, also bei eGFR 60: das ist die Grenze zur chronischen Nierenerkrankung und nicht erst Stadium G3b. WENN DU KEIN CYSTATIN C HAST: nimm die eGFR aus dem Kreatinin und ordne sie nach den Klammerwerten ein - ungenau ist besser als gar nichts. Sie faellt bei viel Muskel aber systematisch zu schlecht aus, weil Kreatinin aus dem Muskel kommt. Sieht sie schlecht aus, lass Cystatin C nachbestimmen, bevor aus einer Muskelmasse eine Nierenerkrankung wird.</t>
        </is>
      </c>
    </row>
    <row r="21">
      <c r="Z21" s="222" t="inlineStr">
        <is>
          <t>nicht gemessen</t>
        </is>
      </c>
    </row>
    <row r="22" ht="18.5" customHeight="1">
      <c r="A22" s="225" t="inlineStr">
        <is>
          <t>3. Ergebnis</t>
        </is>
      </c>
      <c r="Z22" s="222" t="inlineStr">
        <is>
          <t>unter 45</t>
        </is>
      </c>
    </row>
    <row r="23">
      <c r="A23" s="233" t="inlineStr">
        <is>
          <t>Ausgangswert (Durchschnitt)</t>
        </is>
      </c>
      <c r="C23" s="233" t="inlineStr">
        <is>
          <t>Real (Blutwerte + Load + was laeuft)</t>
        </is>
      </c>
      <c r="G23" s="233" t="inlineStr">
        <is>
          <t>Nach den geplanten Massnahmen</t>
        </is>
      </c>
      <c r="O23" s="234" t="inlineStr">
        <is>
          <t>Rechnet Excel selbst. Die drei Zahlen sind dieselbe Skala wie im DNA-Bericht: 100 waere kein einziger Negativpunkt. Der Unterschied zwischen der ersten und der zweiten Zahl ist alles, was an Dosis, Blutwerten und Medikation zusammenkommt - Dosis, Blutwerte, Medikation. Der Unterschied zwischen der zweiten und der dritten ist das, was noch zu holen ist. ACHTUNG: die Punkte sind KEIN Mittelwert ueber die Systeme. Jedes System wird einzeln bewertet, und ein System am Anschlag zieht die Zahl nach unten, auch wenn alle anderen gruen sind - die Kette reisst am schwaechsten Glied. Welches das ist, steht auf dem Block Systeme weiter unten.</t>
        </is>
      </c>
      <c r="Z23" s="222" t="inlineStr">
        <is>
          <t>45 bis 50</t>
        </is>
      </c>
    </row>
    <row r="24" ht="30" customHeight="1">
      <c r="A24" s="235" t="n">
        <v>80</v>
      </c>
      <c r="C24" s="236">
        <f>Parameter!$D$91</f>
        <v/>
      </c>
      <c r="G24" s="237">
        <f>Parameter!$D$92</f>
        <v/>
      </c>
      <c r="Z24" s="222" t="inlineStr">
        <is>
          <t>50 bis 54</t>
        </is>
      </c>
    </row>
    <row r="25" ht="34" customHeight="1">
      <c r="A25" s="234" t="inlineStr">
        <is>
          <t>Durchschnittliche Anlage, ohne Orale, ohne Blutwerte, ohne Medikation. Ein individueller Wert steht nur im DNA-Bericht.</t>
        </is>
      </c>
      <c r="C25" s="234" t="inlineStr">
        <is>
          <t>Wo gemessen wurde, zaehlt die Messung zu 75 Prozent. Aufschluesselung je System: Block Systeme weiter unten.</t>
        </is>
      </c>
      <c r="G25" s="234" t="inlineStr">
        <is>
          <t>Erst real, wenn die Zielwerte rechts erreicht werden.</t>
        </is>
      </c>
      <c r="Z25" s="222" t="inlineStr">
        <is>
          <t>ueber 54</t>
        </is>
      </c>
    </row>
    <row r="26"/>
    <row r="27" ht="18.5" customHeight="1">
      <c r="A27" s="225" t="inlineStr">
        <is>
          <t>4. Was laeuft, was geplant ist</t>
        </is>
      </c>
      <c r="Z27" s="222" t="inlineStr">
        <is>
          <t>nicht gemessen</t>
        </is>
      </c>
    </row>
    <row r="28" ht="58.5" customHeight="1">
      <c r="A28" s="146" t="inlineStr">
        <is>
          <t>LAEUFT BEREITS zaehlt nur in Kategorien OHNE Blutwert - wo gemessen wurde, steckt die Wirkung schon im Messwert und ein zweites Mal gutschreiben waere doppelt gezaehlt. GEPLANT zaehlt ueberall, aber gedaempft nach dem Messwert: gruenes Band 0 Prozent, mittleres Band 50, rotes Band 100. Ein Statin bei LDL unter 1,7 bringt in dieser Kategorie also nichts mehr, und der Weg von 2,5 auf 1,7 zaehlt nur halb - die gefaehrliche Strecke liegt weiter oben. Schaedliche Faktoren werden NICHT gedaempft: ein SGLT2-Hemmer hebt den Haematokrit auch dann, wenn er gerade gut ist.</t>
        </is>
      </c>
      <c r="Z28" s="222" t="inlineStr">
        <is>
          <t>unter 1,4 (55 mg/dl)</t>
        </is>
      </c>
    </row>
    <row r="29" ht="58.5" customHeight="1">
      <c r="A29" s="146" t="inlineStr">
        <is>
          <t>WAS NUR SCHADET steht unten und ist durchgehend rot hinterlegt - sie haben in diesem Modell keinen einzigen Gesundheitsnutzen. Fuer sie sind beide Ankreuzspalten gleichwertig: ob eine Substanz schon laeuft oder erst geplant ist, aendert nichts daran, was sie anrichtet, und gedaempft wird sie nie. TESTOSTERON hat bewusst keine Faktoren - es ist die Grundlast und steckt bereits im Gesamt-Load oben. Alle anderen Zeilen zeigen, was sie ZUSAETZLICH zu Testosteron auf einzelne Systeme legen. Die 17-alpha-alkylierten Oralen stehen hier einzeln mit ihren eigenen Leber-, LDL- und HDL-Faktoren - einen Sammelschalter oben gibt es nicht mehr.</t>
        </is>
      </c>
      <c r="Z29" s="222" t="inlineStr">
        <is>
          <t>1,4 bis 2,6 (55-100 mg/dl)</t>
        </is>
      </c>
    </row>
    <row r="30" ht="44.5" customHeight="1">
      <c r="A30" s="146" t="inlineStr">
        <is>
          <t>Achtung beim Lesen: gedaempft wird je Kategorie, nicht je Substanz. Ein Statin bei perfektem LDL kann trotzdem noch einen kleinen Gewinn zeigen - der kommt dann aus 'Gefaesse/Atherosklerose', und fuer diese Kategorie gibt es in der Liste oben keinen Blutwert. Dasselbe beim Sartan ueber den Herzmuskel. Wer das ausschliessen will, muss diese Kategorien ueber Bildgebung beurteilen lassen - ein Blutbild sagt dazu nichts.</t>
        </is>
      </c>
      <c r="Z30" s="222" t="inlineStr">
        <is>
          <t>2,6 bis 3,4 (100-130 mg/dl)</t>
        </is>
      </c>
    </row>
    <row r="31" ht="55" customHeight="1">
      <c r="A31" s="238" t="inlineStr">
        <is>
          <t>HANDLUNGSPLAN - sortiert sich selbst. Gerechnet wird, was mit dem Score passiert, wenn NUR diese eine Massnahme dazukommt, bei den Blutwerten und dem Stack, die oben stehen. Wer einen hohen Haematokrit eintraegt, findet den Aderlass hier ganz oben; wer einen guten eintraegt, findet ihn gar nicht mehr. Je Wirkstoffklasse steht nur der Beste da - Sartan und ACE-Hemmer sind dieselbe Massnahme, nicht zwei; die schwaechere steht als Alternative dahinter. Was schon laeuft oder schon geplant ist, wird nicht noch einmal vorgeschlagen, und alles andere wird gegen den Stand NACH den geplanten Massnahmen gerechnet - hakt man das Statin an, faellt der PCSK9-Hemmer sofort weg statt unveraendert stehen zu bleiben. Dieselbe Zahl steht in der Spalte 'bringt' bei jeder Substanz.</t>
        </is>
      </c>
      <c r="Z31" s="222" t="inlineStr">
        <is>
          <t>ueber 3,4 (ueber 130 mg/dl)</t>
        </is>
      </c>
    </row>
    <row r="32" ht="15" customHeight="1">
      <c r="A32" s="239">
        <f>IFERROR(IF(LARGE($AC$40:$AC$81,1)&lt;=0.05,"",1&amp;".  "&amp;INDEX($A$40:$A$81,MATCH(LARGE($AC$40:$AC$81,1),$AC$40:$AC$81,0))&amp;"   ["&amp;INDEX($D$40:$D$81,MATCH(LARGE($AC$40:$AC$81,1),$AC$40:$AC$81,0))&amp;"]"&amp;IF(SUMPRODUCT(($D$40:$D$81=INDEX($D$40:$D$81,MATCH(LARGE($AC$40:$AC$81,1),$AC$40:$AC$81,0)))*($AB$40:$AB$81=2)*($AA$40:$AA$81&gt;0)*ROW($A$40:$A$81))=0,"","   Alternative: "&amp;INDEX($A$40:$A$81,SUMPRODUCT(($D$40:$D$81=INDEX($D$40:$D$81,MATCH(LARGE($AC$40:$AC$81,1),$AC$40:$AC$81,0)))*($AB$40:$AB$81=2)*($AA$40:$AA$81&gt;0)*ROW($A$40:$A$81))-40+1))),"")</f>
        <v/>
      </c>
      <c r="F32" s="240">
        <f>IFERROR(IF(LARGE($AC$40:$AC$81,1)&lt;=0.05,"",TEXT(INDEX($F$40:$F$81,MATCH(LARGE($AC$40:$AC$81,1),$AC$40:$AC$81,0)),"+0.0")&amp;" Punkte"),"")</f>
        <v/>
      </c>
    </row>
    <row r="33" ht="15" customHeight="1">
      <c r="A33" s="239">
        <f>IFERROR(IF(LARGE($AC$40:$AC$81,2)&lt;=0.05,"",2&amp;".  "&amp;INDEX($A$40:$A$81,MATCH(LARGE($AC$40:$AC$81,2),$AC$40:$AC$81,0))&amp;"   ["&amp;INDEX($D$40:$D$81,MATCH(LARGE($AC$40:$AC$81,2),$AC$40:$AC$81,0))&amp;"]"&amp;IF(SUMPRODUCT(($D$40:$D$81=INDEX($D$40:$D$81,MATCH(LARGE($AC$40:$AC$81,2),$AC$40:$AC$81,0)))*($AB$40:$AB$81=2)*($AA$40:$AA$81&gt;0)*ROW($A$40:$A$81))=0,"","   Alternative: "&amp;INDEX($A$40:$A$81,SUMPRODUCT(($D$40:$D$81=INDEX($D$40:$D$81,MATCH(LARGE($AC$40:$AC$81,2),$AC$40:$AC$81,0)))*($AB$40:$AB$81=2)*($AA$40:$AA$81&gt;0)*ROW($A$40:$A$81))-40+1))),"")</f>
        <v/>
      </c>
      <c r="F33" s="240">
        <f>IFERROR(IF(LARGE($AC$40:$AC$81,2)&lt;=0.05,"",TEXT(INDEX($F$40:$F$81,MATCH(LARGE($AC$40:$AC$81,2),$AC$40:$AC$81,0)),"+0.0")&amp;" Punkte"),"")</f>
        <v/>
      </c>
      <c r="Z33" s="222" t="inlineStr">
        <is>
          <t>nicht gemessen</t>
        </is>
      </c>
    </row>
    <row r="34" ht="15" customHeight="1">
      <c r="A34" s="239">
        <f>IFERROR(IF(LARGE($AC$40:$AC$81,3)&lt;=0.05,"",3&amp;".  "&amp;INDEX($A$40:$A$81,MATCH(LARGE($AC$40:$AC$81,3),$AC$40:$AC$81,0))&amp;"   ["&amp;INDEX($D$40:$D$81,MATCH(LARGE($AC$40:$AC$81,3),$AC$40:$AC$81,0))&amp;"]"&amp;IF(SUMPRODUCT(($D$40:$D$81=INDEX($D$40:$D$81,MATCH(LARGE($AC$40:$AC$81,3),$AC$40:$AC$81,0)))*($AB$40:$AB$81=2)*($AA$40:$AA$81&gt;0)*ROW($A$40:$A$81))=0,"","   Alternative: "&amp;INDEX($A$40:$A$81,SUMPRODUCT(($D$40:$D$81=INDEX($D$40:$D$81,MATCH(LARGE($AC$40:$AC$81,3),$AC$40:$AC$81,0)))*($AB$40:$AB$81=2)*($AA$40:$AA$81&gt;0)*ROW($A$40:$A$81))-40+1))),"")</f>
        <v/>
      </c>
      <c r="F34" s="240">
        <f>IFERROR(IF(LARGE($AC$40:$AC$81,3)&lt;=0.05,"",TEXT(INDEX($F$40:$F$81,MATCH(LARGE($AC$40:$AC$81,3),$AC$40:$AC$81,0)),"+0.0")&amp;" Punkte"),"")</f>
        <v/>
      </c>
      <c r="Z34" s="222" t="inlineStr">
        <is>
          <t>ueber 1,3 (50 mg/dl)</t>
        </is>
      </c>
    </row>
    <row r="35" ht="15" customHeight="1">
      <c r="A35" s="241">
        <f>IFERROR(IF(LARGE($AC$40:$AC$81,4)&lt;=0.05,"",4&amp;".  "&amp;INDEX($A$40:$A$81,MATCH(LARGE($AC$40:$AC$81,4),$AC$40:$AC$81,0))&amp;"   ["&amp;INDEX($D$40:$D$81,MATCH(LARGE($AC$40:$AC$81,4),$AC$40:$AC$81,0))&amp;"]"&amp;IF(SUMPRODUCT(($D$40:$D$81=INDEX($D$40:$D$81,MATCH(LARGE($AC$40:$AC$81,4),$AC$40:$AC$81,0)))*($AB$40:$AB$81=2)*($AA$40:$AA$81&gt;0)*ROW($A$40:$A$81))=0,"","   Alternative: "&amp;INDEX($A$40:$A$81,SUMPRODUCT(($D$40:$D$81=INDEX($D$40:$D$81,MATCH(LARGE($AC$40:$AC$81,4),$AC$40:$AC$81,0)))*($AB$40:$AB$81=2)*($AA$40:$AA$81&gt;0)*ROW($A$40:$A$81))-40+1))),"")</f>
        <v/>
      </c>
      <c r="F35" s="242">
        <f>IFERROR(IF(LARGE($AC$40:$AC$81,4)&lt;=0.05,"",TEXT(INDEX($F$40:$F$81,MATCH(LARGE($AC$40:$AC$81,4),$AC$40:$AC$81,0)),"+0.0")&amp;" Punkte"),"")</f>
        <v/>
      </c>
      <c r="Z35" s="222" t="inlineStr">
        <is>
          <t>1,0 bis 1,3 (39-50 mg/dl)</t>
        </is>
      </c>
    </row>
    <row r="36" ht="15" customHeight="1">
      <c r="A36" s="241">
        <f>IFERROR(IF(LARGE($AC$40:$AC$81,5)&lt;=0.05,"",5&amp;".  "&amp;INDEX($A$40:$A$81,MATCH(LARGE($AC$40:$AC$81,5),$AC$40:$AC$81,0))&amp;"   ["&amp;INDEX($D$40:$D$81,MATCH(LARGE($AC$40:$AC$81,5),$AC$40:$AC$81,0))&amp;"]"&amp;IF(SUMPRODUCT(($D$40:$D$81=INDEX($D$40:$D$81,MATCH(LARGE($AC$40:$AC$81,5),$AC$40:$AC$81,0)))*($AB$40:$AB$81=2)*($AA$40:$AA$81&gt;0)*ROW($A$40:$A$81))=0,"","   Alternative: "&amp;INDEX($A$40:$A$81,SUMPRODUCT(($D$40:$D$81=INDEX($D$40:$D$81,MATCH(LARGE($AC$40:$AC$81,5),$AC$40:$AC$81,0)))*($AB$40:$AB$81=2)*($AA$40:$AA$81&gt;0)*ROW($A$40:$A$81))-40+1))),"")</f>
        <v/>
      </c>
      <c r="F36" s="242">
        <f>IFERROR(IF(LARGE($AC$40:$AC$81,5)&lt;=0.05,"",TEXT(INDEX($F$40:$F$81,MATCH(LARGE($AC$40:$AC$81,5),$AC$40:$AC$81,0)),"+0.0")&amp;" Punkte"),"")</f>
        <v/>
      </c>
      <c r="Z36" s="222" t="inlineStr">
        <is>
          <t>0,6 bis 1,0 (23-39 mg/dl)</t>
        </is>
      </c>
    </row>
    <row r="37" ht="15" customHeight="1">
      <c r="A37" s="241">
        <f>IFERROR(IF(LARGE($AC$40:$AC$81,6)&lt;=0.05,"",6&amp;".  "&amp;INDEX($A$40:$A$81,MATCH(LARGE($AC$40:$AC$81,6),$AC$40:$AC$81,0))&amp;"   ["&amp;INDEX($D$40:$D$81,MATCH(LARGE($AC$40:$AC$81,6),$AC$40:$AC$81,0))&amp;"]"&amp;IF(SUMPRODUCT(($D$40:$D$81=INDEX($D$40:$D$81,MATCH(LARGE($AC$40:$AC$81,6),$AC$40:$AC$81,0)))*($AB$40:$AB$81=2)*($AA$40:$AA$81&gt;0)*ROW($A$40:$A$81))=0,"","   Alternative: "&amp;INDEX($A$40:$A$81,SUMPRODUCT(($D$40:$D$81=INDEX($D$40:$D$81,MATCH(LARGE($AC$40:$AC$81,6),$AC$40:$AC$81,0)))*($AB$40:$AB$81=2)*($AA$40:$AA$81&gt;0)*ROW($A$40:$A$81))-40+1))),"")</f>
        <v/>
      </c>
      <c r="F37" s="242">
        <f>IFERROR(IF(LARGE($AC$40:$AC$81,6)&lt;=0.05,"",TEXT(INDEX($F$40:$F$81,MATCH(LARGE($AC$40:$AC$81,6),$AC$40:$AC$81,0)),"+0.0")&amp;" Punkte"),"")</f>
        <v/>
      </c>
      <c r="Z37" s="222" t="inlineStr">
        <is>
          <t>unter 0,6 (unter 23 mg/dl)</t>
        </is>
      </c>
    </row>
    <row r="38"/>
    <row r="39" ht="104" customHeight="1">
      <c r="A39" s="243" t="inlineStr">
        <is>
          <t>Substanz</t>
        </is>
      </c>
      <c r="B39" s="243" t="inlineStr">
        <is>
          <t>laeuft bereits</t>
        </is>
      </c>
      <c r="C39" s="243" t="inlineStr">
        <is>
          <t>geplant</t>
        </is>
      </c>
      <c r="D39" s="243" t="inlineStr">
        <is>
          <t>Wirkstoffklasse</t>
        </is>
      </c>
      <c r="E39" s="243" t="inlineStr">
        <is>
          <t>Evidenz</t>
        </is>
      </c>
      <c r="F39" s="243" t="inlineStr">
        <is>
          <t>bringt</t>
        </is>
      </c>
      <c r="G39" s="244" t="inlineStr">
        <is>
          <t>Haematokrit</t>
        </is>
      </c>
      <c r="H39" s="244" t="inlineStr">
        <is>
          <t>HDL</t>
        </is>
      </c>
      <c r="I39" s="244" t="inlineStr">
        <is>
          <t>LDL</t>
        </is>
      </c>
      <c r="J39" s="244" t="inlineStr">
        <is>
          <t>Blutdruck</t>
        </is>
      </c>
      <c r="K39" s="244" t="inlineStr">
        <is>
          <t>Herzmuskel</t>
        </is>
      </c>
      <c r="L39" s="244" t="inlineStr">
        <is>
          <t>Gefaesse</t>
        </is>
      </c>
      <c r="M39" s="244" t="inlineStr">
        <is>
          <t>Thrombose</t>
        </is>
      </c>
      <c r="N39" s="244" t="inlineStr">
        <is>
          <t>Psyche</t>
        </is>
      </c>
      <c r="O39" s="244" t="inlineStr">
        <is>
          <t>Aorta/Lunge</t>
        </is>
      </c>
      <c r="P39" s="244" t="inlineStr">
        <is>
          <t>Triglyzeride</t>
        </is>
      </c>
      <c r="Q39" s="244" t="inlineStr">
        <is>
          <t>Rhythmus</t>
        </is>
      </c>
      <c r="R39" s="244" t="inlineStr">
        <is>
          <t>Niere</t>
        </is>
      </c>
      <c r="S39" s="244" t="inlineStr">
        <is>
          <t>Leber allg.</t>
        </is>
      </c>
      <c r="T39" s="244" t="inlineStr">
        <is>
          <t>Glukose</t>
        </is>
      </c>
      <c r="U39" s="244" t="inlineStr">
        <is>
          <t>Lp(a)</t>
        </is>
      </c>
      <c r="V39" s="244" t="inlineStr">
        <is>
          <t>E2</t>
        </is>
      </c>
      <c r="W39" s="243" t="inlineStr">
        <is>
          <t>Punkte gibt es erst, wenn</t>
        </is>
      </c>
      <c r="X39" s="243" t="inlineStr">
        <is>
          <t>Anmerkung</t>
        </is>
      </c>
      <c r="Z39" s="222" t="inlineStr">
        <is>
          <t>nicht gemessen</t>
        </is>
      </c>
    </row>
    <row r="40" ht="123.5" customHeight="1">
      <c r="A40" s="207" t="inlineStr">
        <is>
          <t>PCSK9-Hemmer oder Inclisiran</t>
        </is>
      </c>
      <c r="B40" s="245" t="n"/>
      <c r="C40" s="246" t="n"/>
      <c r="D40" s="204" t="inlineStr">
        <is>
          <t>Statin/PCSK9</t>
        </is>
      </c>
      <c r="E40" s="247" t="inlineStr">
        <is>
          <t>A</t>
        </is>
      </c>
      <c r="F40" s="248">
        <f>IF(OR($B40="x",$C40="x"),"",MAX(0,Parameter!$B$36/(((SUM(G328:V328)+SUM(G331:V331))^(1/Parameter!$B$40))*Parameter!$D$88)^(1/Parameter!$B$38)-Parameter!$D$92))</f>
        <v/>
      </c>
      <c r="G40" s="249" t="n"/>
      <c r="H40" s="249" t="n"/>
      <c r="I40" s="250">
        <f>Parameter!E258</f>
        <v/>
      </c>
      <c r="J40" s="249" t="n"/>
      <c r="K40" s="249" t="n"/>
      <c r="L40" s="250">
        <f>Parameter!I258</f>
        <v/>
      </c>
      <c r="M40" s="249" t="n"/>
      <c r="N40" s="249" t="n"/>
      <c r="O40" s="249" t="n"/>
      <c r="P40" s="249" t="n"/>
      <c r="Q40" s="249" t="n"/>
      <c r="R40" s="249" t="n"/>
      <c r="S40" s="249" t="n"/>
      <c r="T40" s="249" t="n"/>
      <c r="U40" s="250">
        <f>Parameter!H258</f>
        <v/>
      </c>
      <c r="V40" s="249" t="n"/>
      <c r="W40" s="251" t="inlineStr">
        <is>
          <t>LDL unter 1,4 mmol/l. Lp(a) sinkt nur um 20 bis 25 Prozent - ein hoher Ausgangswert bleibt auch danach hoch.</t>
        </is>
      </c>
      <c r="X40" s="252" t="inlineStr">
        <is>
          <t>PCSK9-Hemmer senken zusaetzlich Lp(a) - das kann sonst nichts auf diesem Blatt. Wegen der Kosten werden sie aber nur an Statin-Nonresponder oder bei Unvertraeglichkeit verschrieben; rund 95 Prozent bekommen ein Statin und sonst nichts. Deshalb steht der PCSK9-Hemmer hier in derselben Klasse wie das Statin: Es zaehlt der staerkere von beiden, nicht beide zusammen. BESONDERHEIT: derzeit das einzige Mittel, das Lp(a) ueberhaupt senkt. KOPPLUNG: die Lp(a)-Wirkung ist entkoppelt, weil es fuer Lp(a) keinen Eingabewert gibt - sie bleibt also immer voll stehen.</t>
        </is>
      </c>
      <c r="Z40" s="222" t="inlineStr">
        <is>
          <t>unter 1,0 (89 mg/dl)</t>
        </is>
      </c>
      <c r="AA40">
        <f>IF(N(F40)=0,0,F40-ROW()/1000000)</f>
        <v/>
      </c>
      <c r="AB40">
        <f>SUMPRODUCT(($D$40:$D$81=$D40)*($AA$40:$AA$81&gt;AA40))+1</f>
        <v/>
      </c>
      <c r="AC40">
        <f>IF(AA40&lt;=0,0,IF(AB40=1,AA40,0))</f>
        <v/>
      </c>
    </row>
    <row r="41" ht="101.5" customHeight="1">
      <c r="A41" s="207" t="inlineStr">
        <is>
          <t>Statin</t>
        </is>
      </c>
      <c r="B41" s="245" t="n"/>
      <c r="C41" s="246" t="n"/>
      <c r="D41" s="204" t="inlineStr">
        <is>
          <t>Statin/PCSK9</t>
        </is>
      </c>
      <c r="E41" s="247" t="inlineStr">
        <is>
          <t>A</t>
        </is>
      </c>
      <c r="F41" s="248">
        <f>IF(OR($B41="x",$C41="x"),"",MAX(0,Parameter!$B$36/(((SUM(G328:V328)+SUM(G332:V332))^(1/Parameter!$B$40))*Parameter!$D$88)^(1/Parameter!$B$38)-Parameter!$D$92))</f>
        <v/>
      </c>
      <c r="G41" s="249" t="n"/>
      <c r="H41" s="249" t="n"/>
      <c r="I41" s="250">
        <f>Parameter!E255</f>
        <v/>
      </c>
      <c r="J41" s="249" t="n"/>
      <c r="K41" s="249" t="n"/>
      <c r="L41" s="250">
        <f>Parameter!I255</f>
        <v/>
      </c>
      <c r="M41" s="249" t="n"/>
      <c r="N41" s="249" t="n"/>
      <c r="O41" s="249" t="n"/>
      <c r="P41" s="249" t="n"/>
      <c r="Q41" s="249" t="n"/>
      <c r="R41" s="249" t="n"/>
      <c r="S41" s="249" t="n"/>
      <c r="T41" s="253">
        <f>Parameter!T255</f>
        <v/>
      </c>
      <c r="U41" s="249" t="n"/>
      <c r="V41" s="249" t="n"/>
      <c r="W41" s="251" t="inlineStr">
        <is>
          <t>LDL unter 1,8 mmol/l (70 mg/dl). Non-Responder gibt es wirklich - ohne Kontrollwert nach 6 bis 8 Wochen sind diese Punkte nur eine Annahme.</t>
        </is>
      </c>
      <c r="X41" s="252" t="inlineStr">
        <is>
          <t>BESONDERHEITEN: Rosuvastatin und Atorvastatin sind die potentesten, Pravastatin das vertraeglichste bei Muskelproblemen, Simvastatin das mit dem hoechsten Myopathierisiko. Monacolin K aus rotem Reis IST Lovastatin - nie zusaetzlich zu einem verschriebenen Statin. KOPPLUNG: auch der Plaque-Nutzen haengt am LDL, nur rund 10 Prozent laufen ueber die pleiotropen Effekte. Bei LDL unter 1,7 bringt ein Statin deshalb praktisch nichts mehr.</t>
        </is>
      </c>
      <c r="Z41" s="222" t="inlineStr">
        <is>
          <t>1,0 bis 1,7 (89-150 mg/dl)</t>
        </is>
      </c>
      <c r="AA41">
        <f>IF(N(F41)=0,0,F41-ROW()/1000000)</f>
        <v/>
      </c>
      <c r="AB41">
        <f>SUMPRODUCT(($D$40:$D$81=$D41)*($AA$40:$AA$81&gt;AA41))+1</f>
        <v/>
      </c>
      <c r="AC41">
        <f>IF(AA41&lt;=0,0,IF(AB41=1,AA41,0))</f>
        <v/>
      </c>
    </row>
    <row r="42" ht="57.5" customHeight="1">
      <c r="A42" s="207" t="inlineStr">
        <is>
          <t>Ezetimib</t>
        </is>
      </c>
      <c r="B42" s="245" t="n"/>
      <c r="C42" s="246" t="n"/>
      <c r="D42" s="204" t="inlineStr">
        <is>
          <t>Cholesterin-Resorptionshemmer</t>
        </is>
      </c>
      <c r="E42" s="247" t="inlineStr">
        <is>
          <t>A</t>
        </is>
      </c>
      <c r="F42" s="248">
        <f>IF(OR($B42="x",$C42="x"),"",MAX(0,Parameter!$B$36/(((SUM(G328:V328)+SUM(G333:V333))^(1/Parameter!$B$40))*Parameter!$D$88)^(1/Parameter!$B$38)-Parameter!$D$92))</f>
        <v/>
      </c>
      <c r="G42" s="249" t="n"/>
      <c r="H42" s="249" t="n"/>
      <c r="I42" s="250">
        <f>Parameter!E256</f>
        <v/>
      </c>
      <c r="J42" s="249" t="n"/>
      <c r="K42" s="249" t="n"/>
      <c r="L42" s="250">
        <f>Parameter!I256</f>
        <v/>
      </c>
      <c r="M42" s="249" t="n"/>
      <c r="N42" s="249" t="n"/>
      <c r="O42" s="249" t="n"/>
      <c r="P42" s="249" t="n"/>
      <c r="Q42" s="249" t="n"/>
      <c r="R42" s="249" t="n"/>
      <c r="S42" s="249" t="n"/>
      <c r="T42" s="249" t="n"/>
      <c r="U42" s="249" t="n"/>
      <c r="V42" s="249" t="n"/>
      <c r="W42" s="251" t="inlineStr">
        <is>
          <t>LDL unter 1,8 mmol/l, meist erst zusammen mit einem Statin erreichbar.</t>
        </is>
      </c>
      <c r="X42" s="252" t="inlineStr">
        <is>
          <t>Rund 20 Prozent LDL-Senkung auf der Aufnahmeseite statt der Syntheseseite. KOPPLUNG: wirkt ausschliesslich ueber das LDL, deshalb Rest 0 in beiden Kategorien - IMPROVE-IT zeigte den Nutzen exakt proportional zur erreichten LDL-Senkung.</t>
        </is>
      </c>
      <c r="Z42" s="222" t="inlineStr">
        <is>
          <t>1,7 bis 3,4 (150-300 mg/dl)</t>
        </is>
      </c>
      <c r="AA42">
        <f>IF(N(F42)=0,0,F42-ROW()/1000000)</f>
        <v/>
      </c>
      <c r="AB42">
        <f>SUMPRODUCT(($D$40:$D$81=$D42)*($AA$40:$AA$81&gt;AA42))+1</f>
        <v/>
      </c>
      <c r="AC42">
        <f>IF(AA42&lt;=0,0,IF(AB42=1,AA42,0))</f>
        <v/>
      </c>
    </row>
    <row r="43" ht="46.5" customHeight="1">
      <c r="A43" s="207" t="inlineStr">
        <is>
          <t>Bempedoinsaeure</t>
        </is>
      </c>
      <c r="B43" s="245" t="n"/>
      <c r="C43" s="246" t="n"/>
      <c r="D43" s="204" t="inlineStr">
        <is>
          <t>ACL-Hemmer</t>
        </is>
      </c>
      <c r="E43" s="247" t="inlineStr">
        <is>
          <t>B</t>
        </is>
      </c>
      <c r="F43" s="248">
        <f>IF(OR($B43="x",$C43="x"),"",MAX(0,Parameter!$B$36/(((SUM(G328:V328)+SUM(G334:V334))^(1/Parameter!$B$40))*Parameter!$D$88)^(1/Parameter!$B$38)-Parameter!$D$92))</f>
        <v/>
      </c>
      <c r="G43" s="249" t="n"/>
      <c r="H43" s="249" t="n"/>
      <c r="I43" s="250">
        <f>Parameter!E257</f>
        <v/>
      </c>
      <c r="J43" s="249" t="n"/>
      <c r="K43" s="249" t="n"/>
      <c r="L43" s="250">
        <f>Parameter!I257</f>
        <v/>
      </c>
      <c r="M43" s="249" t="n"/>
      <c r="N43" s="249" t="n"/>
      <c r="O43" s="249" t="n"/>
      <c r="P43" s="249" t="n"/>
      <c r="Q43" s="249" t="n"/>
      <c r="R43" s="249" t="n"/>
      <c r="S43" s="249" t="n"/>
      <c r="T43" s="249" t="n"/>
      <c r="U43" s="249" t="n"/>
      <c r="V43" s="249" t="n"/>
      <c r="W43" s="251" t="inlineStr">
        <is>
          <t>LDL unter 1,8 mmol/l.</t>
        </is>
      </c>
      <c r="X43" s="252" t="inlineStr">
        <is>
          <t>BESONDERHEIT: wird erst in der Leber aktiviert und erreicht den Muskel praktisch nicht. Damit faellt die Myopathie weg - fuer jemanden, der schwer trainiert, der eigentliche Punkt gegenueber dem Statin.</t>
        </is>
      </c>
      <c r="Z43" s="222" t="inlineStr">
        <is>
          <t>ueber 3,4 (ueber 300 mg/dl)</t>
        </is>
      </c>
      <c r="AA43">
        <f>IF(N(F43)=0,0,F43-ROW()/1000000)</f>
        <v/>
      </c>
      <c r="AB43">
        <f>SUMPRODUCT(($D$40:$D$81=$D43)*($AA$40:$AA$81&gt;AA43))+1</f>
        <v/>
      </c>
      <c r="AC43">
        <f>IF(AA43&lt;=0,0,IF(AB43=1,AA43,0))</f>
        <v/>
      </c>
    </row>
    <row r="44" ht="90.5" customHeight="1">
      <c r="A44" s="207" t="inlineStr">
        <is>
          <t>Sartan (ARB)</t>
        </is>
      </c>
      <c r="B44" s="245" t="n"/>
      <c r="C44" s="246" t="n"/>
      <c r="D44" s="204" t="inlineStr">
        <is>
          <t>RAAS-Blocker</t>
        </is>
      </c>
      <c r="E44" s="247" t="inlineStr">
        <is>
          <t>A</t>
        </is>
      </c>
      <c r="F44" s="248">
        <f>IF(OR($B44="x",$C44="x"),"",MAX(0,Parameter!$B$36/(((SUM(G328:V328)+SUM(G335:V335))^(1/Parameter!$B$40))*Parameter!$D$88)^(1/Parameter!$B$38)-Parameter!$D$92))</f>
        <v/>
      </c>
      <c r="G44" s="249" t="n"/>
      <c r="H44" s="249" t="n"/>
      <c r="I44" s="249" t="n"/>
      <c r="J44" s="250">
        <f>Parameter!D259</f>
        <v/>
      </c>
      <c r="K44" s="250">
        <f>Parameter!M259</f>
        <v/>
      </c>
      <c r="L44" s="249" t="n"/>
      <c r="M44" s="249" t="n"/>
      <c r="N44" s="249" t="n"/>
      <c r="O44" s="250">
        <f>Parameter!J259</f>
        <v/>
      </c>
      <c r="P44" s="249" t="n"/>
      <c r="Q44" s="249" t="n"/>
      <c r="R44" s="250">
        <f>Parameter!Q259</f>
        <v/>
      </c>
      <c r="S44" s="249" t="n"/>
      <c r="T44" s="249" t="n"/>
      <c r="U44" s="249" t="n"/>
      <c r="V44" s="249" t="n"/>
      <c r="W44" s="251" t="inlineStr">
        <is>
          <t>Blutdruck unter 130/80 in Ruhe, an mehreren Tagen gemessen, nicht direkt nach dem Training.</t>
        </is>
      </c>
      <c r="X44" s="252" t="inlineStr">
        <is>
          <t>BESONDERHEIT TELMISARTAN: partielle PPAR-gamma-Aktivitaet, daher ein kleiner Stoffwechselbonus, den die anderen Sartane nicht haben, dazu 24 Stunden Wirkdauer. KOPPLUNG: am Herzmuskel bleibt die Haelfte auch bei gutem Blutdruck stehen - die Massenreduktion geht nachweislich ueber den reinen Druckeffekt hinaus. Die Niere ist ganz entkoppelt, die Nierenprotektion haengt nicht am Ausgangsdruck.</t>
        </is>
      </c>
      <c r="AA44">
        <f>IF(N(F44)=0,0,F44-ROW()/1000000)</f>
        <v/>
      </c>
      <c r="AB44">
        <f>SUMPRODUCT(($D$40:$D$81=$D44)*($AA$40:$AA$81&gt;AA44))+1</f>
        <v/>
      </c>
      <c r="AC44">
        <f>IF(AA44&lt;=0,0,IF(AB44=1,AA44,0))</f>
        <v/>
      </c>
    </row>
    <row r="45" ht="101.5" customHeight="1">
      <c r="A45" s="207" t="inlineStr">
        <is>
          <t>ACE-Hemmer</t>
        </is>
      </c>
      <c r="B45" s="245" t="n"/>
      <c r="C45" s="246" t="n"/>
      <c r="D45" s="204" t="inlineStr">
        <is>
          <t>RAAS-Blocker</t>
        </is>
      </c>
      <c r="E45" s="247" t="inlineStr">
        <is>
          <t>A</t>
        </is>
      </c>
      <c r="F45" s="248">
        <f>IF(OR($B45="x",$C45="x"),"",MAX(0,Parameter!$B$36/(((SUM(G328:V328)+SUM(G336:V336))^(1/Parameter!$B$40))*Parameter!$D$88)^(1/Parameter!$B$38)-Parameter!$D$92))</f>
        <v/>
      </c>
      <c r="G45" s="249" t="n"/>
      <c r="H45" s="249" t="n"/>
      <c r="I45" s="249" t="n"/>
      <c r="J45" s="250">
        <f>Parameter!D260</f>
        <v/>
      </c>
      <c r="K45" s="250">
        <f>Parameter!M260</f>
        <v/>
      </c>
      <c r="L45" s="249" t="n"/>
      <c r="M45" s="249" t="n"/>
      <c r="N45" s="249" t="n"/>
      <c r="O45" s="250">
        <f>Parameter!J260</f>
        <v/>
      </c>
      <c r="P45" s="249" t="n"/>
      <c r="Q45" s="249" t="n"/>
      <c r="R45" s="250">
        <f>Parameter!Q260</f>
        <v/>
      </c>
      <c r="S45" s="249" t="n"/>
      <c r="T45" s="249" t="n"/>
      <c r="U45" s="249" t="n"/>
      <c r="V45" s="249" t="n"/>
      <c r="W45" s="251" t="inlineStr">
        <is>
          <t>Blutdruck unter 130/80 in Ruhe.</t>
        </is>
      </c>
      <c r="X45" s="252" t="inlineStr">
        <is>
          <t>Gleiche Kaskade wie das Sartan, eine Stufe frueher. Reizhusten ist der haeufigste Wechselgrund. ZUR NIERE: ACE-Hemmer sind entgegen einer verbreiteten Annahme genauso nierenprotektiv wie Sartane - das ist eine der am besten belegten Indikationen ueberhaupt (Captopril-Studie, REIN, AIPRI), und die Leitlinien fuehren beide Klassen dafuer gleichwertig. Der Unterschied liegt bei Husten und Angiooedem, nicht an der Niere. Deshalb hier dieselben Werte wie beim Sartan.</t>
        </is>
      </c>
      <c r="Z45" s="222" t="inlineStr">
        <is>
          <t>nicht gemessen</t>
        </is>
      </c>
      <c r="AA45">
        <f>IF(N(F45)=0,0,F45-ROW()/1000000)</f>
        <v/>
      </c>
      <c r="AB45">
        <f>SUMPRODUCT(($D$40:$D$81=$D45)*($AA$40:$AA$81&gt;AA45))+1</f>
        <v/>
      </c>
      <c r="AC45">
        <f>IF(AA45&lt;=0,0,IF(AB45=1,AA45,0))</f>
        <v/>
      </c>
    </row>
    <row r="46" ht="79.5" customHeight="1">
      <c r="A46" s="207" t="inlineStr">
        <is>
          <t>Amlodipin (Calciumantagonist)</t>
        </is>
      </c>
      <c r="B46" s="245" t="n"/>
      <c r="C46" s="246" t="n"/>
      <c r="D46" s="204" t="inlineStr">
        <is>
          <t>Calciumantagonist</t>
        </is>
      </c>
      <c r="E46" s="247" t="inlineStr">
        <is>
          <t>A</t>
        </is>
      </c>
      <c r="F46" s="248">
        <f>IF(OR($B46="x",$C46="x"),"",MAX(0,Parameter!$B$36/(((SUM(G328:V328)+SUM(G337:V337))^(1/Parameter!$B$40))*Parameter!$D$88)^(1/Parameter!$B$38)-Parameter!$D$92))</f>
        <v/>
      </c>
      <c r="G46" s="249" t="n"/>
      <c r="H46" s="249" t="n"/>
      <c r="I46" s="249" t="n"/>
      <c r="J46" s="250">
        <f>Parameter!D261</f>
        <v/>
      </c>
      <c r="K46" s="250">
        <f>Parameter!M261</f>
        <v/>
      </c>
      <c r="L46" s="250">
        <f>Parameter!I261</f>
        <v/>
      </c>
      <c r="M46" s="249" t="n"/>
      <c r="N46" s="249" t="n"/>
      <c r="O46" s="250">
        <f>Parameter!J261</f>
        <v/>
      </c>
      <c r="P46" s="249" t="n"/>
      <c r="Q46" s="249" t="n"/>
      <c r="R46" s="249" t="n"/>
      <c r="S46" s="249" t="n"/>
      <c r="T46" s="249" t="n"/>
      <c r="U46" s="249" t="n"/>
      <c r="V46" s="249" t="n"/>
      <c r="W46" s="251" t="inlineStr">
        <is>
          <t>Blutdruck unter 130/80 in Ruhe.</t>
        </is>
      </c>
      <c r="X46" s="252" t="inlineStr">
        <is>
          <t>Senkt zentralen Druck und Gefaesssteifigkeit, entlastet also die Aortenwand. ACHTUNG BEI BINDEGEWEBSSCHWAECHE: bei Marfan gibt es Daten, nach denen Calciumantagonisten Aneurysma und Dissektion eher verschlechtern. Wer eine bekannte Bindegewebserkrankung oder eine erweiterte Aortenwurzel hat, klaert das vor der Einnahme ab.</t>
        </is>
      </c>
      <c r="Z46" s="222" t="inlineStr">
        <is>
          <t>unter 80 (4,4 mmol/l)</t>
        </is>
      </c>
      <c r="AA46">
        <f>IF(N(F46)=0,0,F46-ROW()/1000000)</f>
        <v/>
      </c>
      <c r="AB46">
        <f>SUMPRODUCT(($D$40:$D$81=$D46)*($AA$40:$AA$81&gt;AA46))+1</f>
        <v/>
      </c>
      <c r="AC46">
        <f>IF(AA46&lt;=0,0,IF(AB46=1,AA46,0))</f>
        <v/>
      </c>
    </row>
    <row r="47" ht="46.5" customHeight="1">
      <c r="A47" s="207" t="inlineStr">
        <is>
          <t>Nebivolol (Betablocker)</t>
        </is>
      </c>
      <c r="B47" s="245" t="n"/>
      <c r="C47" s="246" t="n"/>
      <c r="D47" s="204" t="inlineStr">
        <is>
          <t>Betablocker</t>
        </is>
      </c>
      <c r="E47" s="247" t="inlineStr">
        <is>
          <t>B</t>
        </is>
      </c>
      <c r="F47" s="248">
        <f>IF(OR($B47="x",$C47="x"),"",MAX(0,Parameter!$B$36/(((SUM(G328:V328)+SUM(G338:V338))^(1/Parameter!$B$40))*Parameter!$D$88)^(1/Parameter!$B$38)-Parameter!$D$92))</f>
        <v/>
      </c>
      <c r="G47" s="249" t="n"/>
      <c r="H47" s="249" t="n"/>
      <c r="I47" s="249" t="n"/>
      <c r="J47" s="250">
        <f>Parameter!D262</f>
        <v/>
      </c>
      <c r="K47" s="250">
        <f>Parameter!M262</f>
        <v/>
      </c>
      <c r="L47" s="249" t="n"/>
      <c r="M47" s="249" t="n"/>
      <c r="N47" s="249" t="n"/>
      <c r="O47" s="250">
        <f>Parameter!J262</f>
        <v/>
      </c>
      <c r="P47" s="249" t="n"/>
      <c r="Q47" s="250">
        <f>Parameter!L262</f>
        <v/>
      </c>
      <c r="R47" s="249" t="n"/>
      <c r="S47" s="249" t="n"/>
      <c r="T47" s="249" t="n"/>
      <c r="U47" s="249" t="n"/>
      <c r="V47" s="249" t="n"/>
      <c r="W47" s="251" t="inlineStr">
        <is>
          <t>Blutdruck unter 130/80, Ruhepuls im Zielbereich.</t>
        </is>
      </c>
      <c r="X47" s="252" t="inlineStr">
        <is>
          <t>Der Betablocker mit NO-vermittelter Gefaesserweiterung und dem geringsten Einfluss auf die Blutfette. KOPPLUNG: die Rhythmuswirkung ist entkoppelt - die Frequenzkontrolle haengt nicht am Ausgangsblutdruck.</t>
        </is>
      </c>
      <c r="Z47" s="222" t="inlineStr">
        <is>
          <t>80 bis 95 (4,4-5,3 mmol/l)</t>
        </is>
      </c>
      <c r="AA47">
        <f>IF(N(F47)=0,0,F47-ROW()/1000000)</f>
        <v/>
      </c>
      <c r="AB47">
        <f>SUMPRODUCT(($D$40:$D$81=$D47)*($AA$40:$AA$81&gt;AA47))+1</f>
        <v/>
      </c>
      <c r="AC47">
        <f>IF(AA47&lt;=0,0,IF(AB47=1,AA47,0))</f>
        <v/>
      </c>
    </row>
    <row r="48" ht="46.5" customHeight="1">
      <c r="A48" s="207" t="inlineStr">
        <is>
          <t>Tadalafil niedrig dosiert</t>
        </is>
      </c>
      <c r="B48" s="245" t="n"/>
      <c r="C48" s="246" t="n"/>
      <c r="D48" s="204" t="inlineStr">
        <is>
          <t>PDE5-Hemmer</t>
        </is>
      </c>
      <c r="E48" s="247" t="inlineStr">
        <is>
          <t>C</t>
        </is>
      </c>
      <c r="F48" s="248">
        <f>IF(OR($B48="x",$C48="x"),"",MAX(0,Parameter!$B$36/(((SUM(G328:V328)+SUM(G339:V339))^(1/Parameter!$B$40))*Parameter!$D$88)^(1/Parameter!$B$38)-Parameter!$D$92))</f>
        <v/>
      </c>
      <c r="G48" s="249" t="n"/>
      <c r="H48" s="249" t="n"/>
      <c r="I48" s="249" t="n"/>
      <c r="J48" s="250">
        <f>Parameter!D263</f>
        <v/>
      </c>
      <c r="K48" s="250">
        <f>Parameter!M263</f>
        <v/>
      </c>
      <c r="L48" s="250">
        <f>Parameter!I263</f>
        <v/>
      </c>
      <c r="M48" s="249" t="n"/>
      <c r="N48" s="249" t="n"/>
      <c r="O48" s="249" t="n"/>
      <c r="P48" s="249" t="n"/>
      <c r="Q48" s="249" t="n"/>
      <c r="R48" s="249" t="n"/>
      <c r="S48" s="249" t="n"/>
      <c r="T48" s="249" t="n"/>
      <c r="U48" s="249" t="n"/>
      <c r="V48" s="249" t="n"/>
      <c r="W48" s="251" t="inlineStr">
        <is>
          <t>Blutdruck unter 130/80. Als alleinige Massnahme reicht es dafuer selten.</t>
        </is>
      </c>
      <c r="X48" s="252" t="inlineStr">
        <is>
          <t>Taeglich niedrig dosiert verbessert es die Endothelfunktion und senkt den Blutdruck leicht. Die Daten zur Hypertrophie stammen aus kleinen Studien, daher Stufe C.</t>
        </is>
      </c>
      <c r="Z48" s="222" t="inlineStr">
        <is>
          <t>95 bis 110 (5,3-6,1 mmol/l)</t>
        </is>
      </c>
      <c r="AA48">
        <f>IF(N(F48)=0,0,F48-ROW()/1000000)</f>
        <v/>
      </c>
      <c r="AB48">
        <f>SUMPRODUCT(($D$40:$D$81=$D48)*($AA$40:$AA$81&gt;AA48))+1</f>
        <v/>
      </c>
      <c r="AC48">
        <f>IF(AA48&lt;=0,0,IF(AB48=1,AA48,0))</f>
        <v/>
      </c>
    </row>
    <row r="49" ht="35.5" customHeight="1">
      <c r="A49" s="207" t="inlineStr">
        <is>
          <t>Blutspende oder Aderlass</t>
        </is>
      </c>
      <c r="B49" s="245" t="n"/>
      <c r="C49" s="246" t="n"/>
      <c r="D49" s="204" t="inlineStr">
        <is>
          <t>Aderlass</t>
        </is>
      </c>
      <c r="E49" s="247" t="inlineStr">
        <is>
          <t>B</t>
        </is>
      </c>
      <c r="F49" s="248">
        <f>IF(OR($B49="x",$C49="x"),"",MAX(0,Parameter!$B$36/(((SUM(G328:V328)+SUM(G340:V340))^(1/Parameter!$B$40))*Parameter!$D$88)^(1/Parameter!$B$38)-Parameter!$D$92))</f>
        <v/>
      </c>
      <c r="G49" s="250">
        <f>Parameter!O264</f>
        <v/>
      </c>
      <c r="H49" s="249" t="n"/>
      <c r="I49" s="249" t="n"/>
      <c r="J49" s="249" t="n"/>
      <c r="K49" s="249" t="n"/>
      <c r="L49" s="249" t="n"/>
      <c r="M49" s="249" t="n"/>
      <c r="N49" s="249" t="n"/>
      <c r="O49" s="249" t="n"/>
      <c r="P49" s="249" t="n"/>
      <c r="Q49" s="249" t="n"/>
      <c r="R49" s="249" t="n"/>
      <c r="S49" s="249" t="n"/>
      <c r="T49" s="249" t="n"/>
      <c r="U49" s="249" t="n"/>
      <c r="V49" s="249" t="n"/>
      <c r="W49" s="251" t="inlineStr">
        <is>
          <t>Haematokrit unter 47 Prozent, dabei Ferritin nicht unter 30.</t>
        </is>
      </c>
      <c r="X49" s="252" t="inlineStr">
        <is>
          <t>Die direkteste und billigste Massnahme ueberhaupt. KOPPLUNG: Rest 0 - bei einem Haematokrit von 44 gibt es schlicht nichts abzulassen.</t>
        </is>
      </c>
      <c r="Z49" s="222" t="inlineStr">
        <is>
          <t>ab 110 (ab 6,1 mmol/l)</t>
        </is>
      </c>
      <c r="AA49">
        <f>IF(N(F49)=0,0,F49-ROW()/1000000)</f>
        <v/>
      </c>
      <c r="AB49">
        <f>SUMPRODUCT(($D$40:$D$81=$D49)*($AA$40:$AA$81&gt;AA49))+1</f>
        <v/>
      </c>
      <c r="AC49">
        <f>IF(AA49&lt;=0,0,IF(AB49=1,AA49,0))</f>
        <v/>
      </c>
    </row>
    <row r="50" ht="90.5" customHeight="1">
      <c r="A50" s="207" t="inlineStr">
        <is>
          <t>SGLT2-Hemmer</t>
        </is>
      </c>
      <c r="B50" s="245" t="n"/>
      <c r="C50" s="246" t="n"/>
      <c r="D50" s="204" t="inlineStr">
        <is>
          <t>SGLT2</t>
        </is>
      </c>
      <c r="E50" s="247" t="inlineStr">
        <is>
          <t>A</t>
        </is>
      </c>
      <c r="F50" s="248">
        <f>IF(OR($B50="x",$C50="x"),"",MAX(0,Parameter!$B$36/(((SUM(G328:V328)+SUM(G341:V341))^(1/Parameter!$B$40))*Parameter!$D$88)^(1/Parameter!$B$38)-Parameter!$D$92))</f>
        <v/>
      </c>
      <c r="G50" s="253">
        <f>Parameter!O265</f>
        <v/>
      </c>
      <c r="H50" s="249" t="n"/>
      <c r="I50" s="249" t="n"/>
      <c r="J50" s="250">
        <f>Parameter!D265</f>
        <v/>
      </c>
      <c r="K50" s="250">
        <f>Parameter!M265</f>
        <v/>
      </c>
      <c r="L50" s="249" t="n"/>
      <c r="M50" s="249" t="n"/>
      <c r="N50" s="249" t="n"/>
      <c r="O50" s="249" t="n"/>
      <c r="P50" s="249" t="n"/>
      <c r="Q50" s="249" t="n"/>
      <c r="R50" s="250">
        <f>Parameter!Q265</f>
        <v/>
      </c>
      <c r="S50" s="249" t="n"/>
      <c r="T50" s="250">
        <f>Parameter!T265</f>
        <v/>
      </c>
      <c r="U50" s="249" t="n"/>
      <c r="V50" s="249" t="n"/>
      <c r="W50" s="251" t="inlineStr">
        <is>
          <t>Nuechternglukose unter 93 mg/dl bzw. HbA1c unter 5,7. Haematokrit gegenchecken, er steigt unter SGLT2.</t>
        </is>
      </c>
      <c r="X50" s="252" t="inlineStr">
        <is>
          <t>BESONDERHEIT: hebt den Haematokrit um 2 bis 4 Prozentpunkte - auf Kur die falsche Richtung, deshalb die Minuszeile. KOPPLUNG: Niere und Herzmuskel sind ENTKOPPELT. Der Nutzen bei Herzinsuffizienz und Nierenerkrankung ist in DAPA-HF, EMPEROR, DAPA-CKD und EMPA-KIDNEY auch bei Menschen ohne Diabetes belegt - er haengt also nicht am Blutzucker. Nur die Glukosewirkung selbst ist gekoppelt.</t>
        </is>
      </c>
      <c r="AA50">
        <f>IF(N(F50)=0,0,F50-ROW()/1000000)</f>
        <v/>
      </c>
      <c r="AB50">
        <f>SUMPRODUCT(($D$40:$D$81=$D50)*($AA$40:$AA$81&gt;AA50))+1</f>
        <v/>
      </c>
      <c r="AC50">
        <f>IF(AA50&lt;=0,0,IF(AB50=1,AA50,0))</f>
        <v/>
      </c>
    </row>
    <row r="51" ht="90.5" customHeight="1">
      <c r="A51" s="207" t="inlineStr">
        <is>
          <t>GLP-1- oder GLP-1/GIP-Agonist</t>
        </is>
      </c>
      <c r="B51" s="245" t="n"/>
      <c r="C51" s="246" t="n"/>
      <c r="D51" s="204" t="inlineStr">
        <is>
          <t>Inkretin</t>
        </is>
      </c>
      <c r="E51" s="247" t="inlineStr">
        <is>
          <t>A</t>
        </is>
      </c>
      <c r="F51" s="248">
        <f>IF(OR($B51="x",$C51="x"),"",MAX(0,Parameter!$B$36/(((SUM(G328:V328)+SUM(G342:V342))^(1/Parameter!$B$40))*Parameter!$D$88)^(1/Parameter!$B$38)-Parameter!$D$92))</f>
        <v/>
      </c>
      <c r="G51" s="249" t="n"/>
      <c r="H51" s="250">
        <f>Parameter!F266</f>
        <v/>
      </c>
      <c r="I51" s="249" t="n"/>
      <c r="J51" s="250">
        <f>Parameter!D266</f>
        <v/>
      </c>
      <c r="K51" s="249" t="n"/>
      <c r="L51" s="250">
        <f>Parameter!I266</f>
        <v/>
      </c>
      <c r="M51" s="249" t="n"/>
      <c r="N51" s="249" t="n"/>
      <c r="O51" s="249" t="n"/>
      <c r="P51" s="250">
        <f>Parameter!G266</f>
        <v/>
      </c>
      <c r="Q51" s="249" t="n"/>
      <c r="R51" s="249" t="n"/>
      <c r="S51" s="250">
        <f>Parameter!R266</f>
        <v/>
      </c>
      <c r="T51" s="250">
        <f>Parameter!T266</f>
        <v/>
      </c>
      <c r="U51" s="249" t="n"/>
      <c r="V51" s="249" t="n"/>
      <c r="W51" s="251" t="inlineStr">
        <is>
          <t>Nuechternglukose unter 93 mg/dl, Triglyzeride unter 1,2 mmol/l.</t>
        </is>
      </c>
      <c r="X51" s="252" t="inlineStr">
        <is>
          <t>BESONDERHEITEN: Tirzepatid staerker als Semaglutid, Retatrutid nochmal staerker, aber noch nicht zugelassen. Im Defizit geht Magermasse mit runter. KOPPLUNG: bei normalem Blutzucker faellt die Glukosewirkung weg, die Leberwirkung nicht - die Reduktion des Leberfetts laeuft ueber den Gewichtsverlust. Der Gefaessnutzen bleibt zu 60 Prozent stehen, in SELECT profitierten auch Menschen ohne Diabetes.</t>
        </is>
      </c>
      <c r="Z51" s="222" t="inlineStr">
        <is>
          <t>nicht gemessen</t>
        </is>
      </c>
      <c r="AA51">
        <f>IF(N(F51)=0,0,F51-ROW()/1000000)</f>
        <v/>
      </c>
      <c r="AB51">
        <f>SUMPRODUCT(($D$40:$D$81=$D51)*($AA$40:$AA$81&gt;AA51))+1</f>
        <v/>
      </c>
      <c r="AC51">
        <f>IF(AA51&lt;=0,0,IF(AB51=1,AA51,0))</f>
        <v/>
      </c>
    </row>
    <row r="52" ht="57.5" customHeight="1">
      <c r="A52" s="207" t="inlineStr">
        <is>
          <t>Berberin oder Metformin</t>
        </is>
      </c>
      <c r="B52" s="245" t="n"/>
      <c r="C52" s="246" t="n"/>
      <c r="D52" s="204" t="inlineStr">
        <is>
          <t>Insulinsensitizer</t>
        </is>
      </c>
      <c r="E52" s="247" t="inlineStr">
        <is>
          <t>B</t>
        </is>
      </c>
      <c r="F52" s="248">
        <f>IF(OR($B52="x",$C52="x"),"",MAX(0,Parameter!$B$36/(((SUM(G328:V328)+SUM(G343:V343))^(1/Parameter!$B$40))*Parameter!$D$88)^(1/Parameter!$B$38)-Parameter!$D$92))</f>
        <v/>
      </c>
      <c r="G52" s="249" t="n"/>
      <c r="H52" s="249" t="n"/>
      <c r="I52" s="250">
        <f>Parameter!E267</f>
        <v/>
      </c>
      <c r="J52" s="249" t="n"/>
      <c r="K52" s="249" t="n"/>
      <c r="L52" s="249" t="n"/>
      <c r="M52" s="249" t="n"/>
      <c r="N52" s="249" t="n"/>
      <c r="O52" s="249" t="n"/>
      <c r="P52" s="250">
        <f>Parameter!G267</f>
        <v/>
      </c>
      <c r="Q52" s="249" t="n"/>
      <c r="R52" s="249" t="n"/>
      <c r="S52" s="250">
        <f>Parameter!R267</f>
        <v/>
      </c>
      <c r="T52" s="250">
        <f>Parameter!T267</f>
        <v/>
      </c>
      <c r="U52" s="249" t="n"/>
      <c r="V52" s="249" t="n"/>
      <c r="W52" s="251" t="inlineStr">
        <is>
          <t>Nuechternglukose unter 93 mg/dl.</t>
        </is>
      </c>
      <c r="X52" s="252" t="inlineStr">
        <is>
          <t>BESONDERHEITEN: Berberin ist frei verkaeuflich und in der Szene Standard, die Datenlage besteht aber ueberwiegend aus kleinen, methodisch schwachen Studien. Metformin ist gut belegt, gilt hier aber als oldschool.</t>
        </is>
      </c>
      <c r="Z52" s="222" t="inlineStr">
        <is>
          <t>unter 0,80 (eGFR ueber 110)</t>
        </is>
      </c>
      <c r="AA52">
        <f>IF(N(F52)=0,0,F52-ROW()/1000000)</f>
        <v/>
      </c>
      <c r="AB52">
        <f>SUMPRODUCT(($D$40:$D$81=$D52)*($AA$40:$AA$81&gt;AA52))+1</f>
        <v/>
      </c>
      <c r="AC52">
        <f>IF(AA52&lt;=0,0,IF(AB52=1,AA52,0))</f>
        <v/>
      </c>
    </row>
    <row r="53" ht="68.5" customHeight="1">
      <c r="A53" s="207" t="inlineStr">
        <is>
          <t>Omega-3 hochdosiert</t>
        </is>
      </c>
      <c r="B53" s="245" t="n"/>
      <c r="C53" s="246" t="n"/>
      <c r="D53" s="204" t="inlineStr">
        <is>
          <t>Omega-3</t>
        </is>
      </c>
      <c r="E53" s="247" t="inlineStr">
        <is>
          <t>A</t>
        </is>
      </c>
      <c r="F53" s="248">
        <f>IF(OR($B53="x",$C53="x"),"",MAX(0,Parameter!$B$36/(((SUM(G328:V328)+SUM(G344:V344))^(1/Parameter!$B$40))*Parameter!$D$88)^(1/Parameter!$B$38)-Parameter!$D$92))</f>
        <v/>
      </c>
      <c r="G53" s="249" t="n"/>
      <c r="H53" s="249" t="n"/>
      <c r="I53" s="249" t="n"/>
      <c r="J53" s="249" t="n"/>
      <c r="K53" s="249" t="n"/>
      <c r="L53" s="250">
        <f>Parameter!I268</f>
        <v/>
      </c>
      <c r="M53" s="249" t="n"/>
      <c r="N53" s="250">
        <f>Parameter!K268</f>
        <v/>
      </c>
      <c r="O53" s="249" t="n"/>
      <c r="P53" s="250">
        <f>Parameter!G268</f>
        <v/>
      </c>
      <c r="Q53" s="249" t="n"/>
      <c r="R53" s="249" t="n"/>
      <c r="S53" s="249" t="n"/>
      <c r="T53" s="249" t="n"/>
      <c r="U53" s="249" t="n"/>
      <c r="V53" s="249" t="n"/>
      <c r="W53" s="251" t="inlineStr">
        <is>
          <t>Triglyzeride unter 1,2 mmol/l.</t>
        </is>
      </c>
      <c r="X53" s="252" t="inlineStr">
        <is>
          <t>BESONDERHEIT: reines EPA (Icosapent Ethyl) hebt das LDL nicht an und ist das einzige Omega-3-Praeparat mit positiver Endpunktstudie. KOPPLUNG: der Gefaessnutzen aus REDUCE-IT liess sich nur zum Teil ueber die Triglyzeridsenkung erklaeren, deshalb bleibt er weitgehend entkoppelt.</t>
        </is>
      </c>
      <c r="Z53" s="222" t="inlineStr">
        <is>
          <t>0,80 bis 1,00 (eGFR 85-110)</t>
        </is>
      </c>
      <c r="AA53">
        <f>IF(N(F53)=0,0,F53-ROW()/1000000)</f>
        <v/>
      </c>
      <c r="AB53">
        <f>SUMPRODUCT(($D$40:$D$81=$D53)*($AA$40:$AA$81&gt;AA53))+1</f>
        <v/>
      </c>
      <c r="AC53">
        <f>IF(AA53&lt;=0,0,IF(AB53=1,AA53,0))</f>
        <v/>
      </c>
    </row>
    <row r="54" ht="101.5" customHeight="1">
      <c r="A54" s="207" t="inlineStr">
        <is>
          <t>OTC-Stack komplett</t>
        </is>
      </c>
      <c r="B54" s="245" t="n"/>
      <c r="C54" s="246" t="n"/>
      <c r="D54" s="204" t="inlineStr">
        <is>
          <t>OTC-Stack</t>
        </is>
      </c>
      <c r="E54" s="247" t="inlineStr">
        <is>
          <t>B/C</t>
        </is>
      </c>
      <c r="F54" s="248">
        <f>IF(OR($B54="x",$C54="x"),"",MAX(0,Parameter!$B$36/(((SUM(G328:V328)+SUM(G345:V345))^(1/Parameter!$B$40))*Parameter!$D$88)^(1/Parameter!$B$38)-Parameter!$D$92))</f>
        <v/>
      </c>
      <c r="G54" s="249" t="n"/>
      <c r="H54" s="250">
        <f>Parameter!F269</f>
        <v/>
      </c>
      <c r="I54" s="250">
        <f>Parameter!E269</f>
        <v/>
      </c>
      <c r="J54" s="250">
        <f>Parameter!D269</f>
        <v/>
      </c>
      <c r="K54" s="249" t="n"/>
      <c r="L54" s="249" t="n"/>
      <c r="M54" s="249" t="n"/>
      <c r="N54" s="250">
        <f>Parameter!K269</f>
        <v/>
      </c>
      <c r="O54" s="249" t="n"/>
      <c r="P54" s="250">
        <f>Parameter!G269</f>
        <v/>
      </c>
      <c r="Q54" s="249" t="n"/>
      <c r="R54" s="249" t="n"/>
      <c r="S54" s="250">
        <f>Parameter!R269</f>
        <v/>
      </c>
      <c r="T54" s="250">
        <f>Parameter!T269</f>
        <v/>
      </c>
      <c r="U54" s="249" t="n"/>
      <c r="V54" s="249" t="n"/>
      <c r="W54" s="251" t="inlineStr">
        <is>
          <t>LDL unter 2,5 und Triglyzeride unter 1,2 mmol/l. Schafft der Stack das nicht, ist es ein Fall fuer ein Statin - nicht fuer die naechste Dose.</t>
        </is>
      </c>
      <c r="X54" s="252" t="inlineStr">
        <is>
          <t>ENTHAELT: Citrus-Bergamotte und Monacolin K auf LDL und HDL, hochdosiertes Omega-3 auf die Triglyzeride, Berberin auf die Glukose, L-Citrullin, Nitrat, Kalium und Taurin auf den Blutdruck, TUDCA und NAC auf die Leber. WER DIE EINZELPOSTEN SCHON ANGEHAKT HAT, HAKT DEN STACK NICHT ZUSAETZLICH AN. Monacolin K IST Lovastatin: nie zusaetzlich zu einem Statin, in der EU seit 2022 unter 3 mg begrenzt, Verbot 2026 auf dem Weg.</t>
        </is>
      </c>
      <c r="Z54" s="222" t="inlineStr">
        <is>
          <t>1,00 bis 1,30 (eGFR 60-85)</t>
        </is>
      </c>
      <c r="AA54">
        <f>IF(N(F54)=0,0,F54-ROW()/1000000)</f>
        <v/>
      </c>
      <c r="AB54">
        <f>SUMPRODUCT(($D$40:$D$81=$D54)*($AA$40:$AA$81&gt;AA54))+1</f>
        <v/>
      </c>
      <c r="AC54">
        <f>IF(AA54&lt;=0,0,IF(AB54=1,AA54,0))</f>
        <v/>
      </c>
    </row>
    <row r="55" ht="57.5" customHeight="1">
      <c r="A55" s="207" t="inlineStr">
        <is>
          <t>Leber-Supplemente (TUDCA, NAC)</t>
        </is>
      </c>
      <c r="B55" s="245" t="n"/>
      <c r="C55" s="246" t="n"/>
      <c r="D55" s="204" t="inlineStr">
        <is>
          <t>Leber-Supplement</t>
        </is>
      </c>
      <c r="E55" s="247" t="inlineStr">
        <is>
          <t>C</t>
        </is>
      </c>
      <c r="F55" s="248">
        <f>IF(OR($B55="x",$C55="x"),"",MAX(0,Parameter!$B$36/(((SUM(G328:V328)+SUM(G346:V346))^(1/Parameter!$B$40))*Parameter!$D$88)^(1/Parameter!$B$38)-Parameter!$D$92))</f>
        <v/>
      </c>
      <c r="G55" s="249" t="n"/>
      <c r="H55" s="249" t="n"/>
      <c r="I55" s="249" t="n"/>
      <c r="J55" s="249" t="n"/>
      <c r="K55" s="249" t="n"/>
      <c r="L55" s="249" t="n"/>
      <c r="M55" s="249" t="n"/>
      <c r="N55" s="249" t="n"/>
      <c r="O55" s="249" t="n"/>
      <c r="P55" s="249" t="n"/>
      <c r="Q55" s="249" t="n"/>
      <c r="R55" s="249" t="n"/>
      <c r="S55" s="250">
        <f>Parameter!R270</f>
        <v/>
      </c>
      <c r="T55" s="249" t="n"/>
      <c r="U55" s="249" t="n"/>
      <c r="V55" s="249" t="n"/>
      <c r="W55" s="251" t="inlineStr">
        <is>
          <t>ALT und AST im Normbereich. Bei Kraftsport sind leichte Erhoehungen auch ohne Leberproblem ueblich.</t>
        </is>
      </c>
      <c r="X55" s="252" t="inlineStr">
        <is>
          <t>WICHTIG: diese Zeile senkt den Oral-Abzug NICHT. Es gibt keine belastbaren Humandaten, dass TUDCA oder NAC den Schaden 17-alpha-alkylierter Substanzen verhindern. Entkoppelt, weil es fuer die Leber keinen Eingabewert im Blatt gibt.</t>
        </is>
      </c>
      <c r="Z55" s="222" t="inlineStr">
        <is>
          <t>ueber 1,30 (eGFR unter 60)</t>
        </is>
      </c>
      <c r="AA55">
        <f>IF(N(F55)=0,0,F55-ROW()/1000000)</f>
        <v/>
      </c>
      <c r="AB55">
        <f>SUMPRODUCT(($D$40:$D$81=$D55)*($AA$40:$AA$81&gt;AA55))+1</f>
        <v/>
      </c>
      <c r="AC55">
        <f>IF(AA55&lt;=0,0,IF(AB55=1,AA55,0))</f>
        <v/>
      </c>
    </row>
    <row r="56" ht="46.5" customHeight="1">
      <c r="A56" s="207" t="inlineStr">
        <is>
          <t>Ausdauertraining und Koerperfett runter</t>
        </is>
      </c>
      <c r="B56" s="245" t="n"/>
      <c r="C56" s="246" t="n"/>
      <c r="D56" s="204" t="inlineStr">
        <is>
          <t>Lifestyle</t>
        </is>
      </c>
      <c r="E56" s="247" t="inlineStr">
        <is>
          <t>A</t>
        </is>
      </c>
      <c r="F56" s="248">
        <f>IF(OR($B56="x",$C56="x"),"",MAX(0,Parameter!$B$36/(((SUM(G328:V328)+SUM(G347:V347))^(1/Parameter!$B$40))*Parameter!$D$88)^(1/Parameter!$B$38)-Parameter!$D$92))</f>
        <v/>
      </c>
      <c r="G56" s="249" t="n"/>
      <c r="H56" s="250">
        <f>Parameter!F271</f>
        <v/>
      </c>
      <c r="I56" s="249" t="n"/>
      <c r="J56" s="250">
        <f>Parameter!D271</f>
        <v/>
      </c>
      <c r="K56" s="250">
        <f>Parameter!M271</f>
        <v/>
      </c>
      <c r="L56" s="250">
        <f>Parameter!I271</f>
        <v/>
      </c>
      <c r="M56" s="249" t="n"/>
      <c r="N56" s="250">
        <f>Parameter!K271</f>
        <v/>
      </c>
      <c r="O56" s="250">
        <f>Parameter!J271</f>
        <v/>
      </c>
      <c r="P56" s="250">
        <f>Parameter!G271</f>
        <v/>
      </c>
      <c r="Q56" s="249" t="n"/>
      <c r="R56" s="249" t="n"/>
      <c r="S56" s="250">
        <f>Parameter!R271</f>
        <v/>
      </c>
      <c r="T56" s="250">
        <f>Parameter!T271</f>
        <v/>
      </c>
      <c r="U56" s="249" t="n"/>
      <c r="V56" s="249" t="n"/>
      <c r="W56" s="251" t="inlineStr">
        <is>
          <t>HDL ueber 1,0 mmol/l, Triglyzeride unter 1,2, Blutdruck unter 130/80.</t>
        </is>
      </c>
      <c r="X56" s="252" t="inlineStr">
        <is>
          <t>Das Mittel mit der besten Datenlage auf diesem Blatt, und das einzige mit einem grossen Psyche-Plus. Wirkt bei Depression in der Groessenordnung einer medikamentoesen Behandlung und kostet nichts ausser Zeit.</t>
        </is>
      </c>
      <c r="AA56">
        <f>IF(N(F56)=0,0,F56-ROW()/1000000)</f>
        <v/>
      </c>
      <c r="AB56">
        <f>SUMPRODUCT(($D$40:$D$81=$D56)*($AA$40:$AA$81&gt;AA56))+1</f>
        <v/>
      </c>
      <c r="AC56">
        <f>IF(AA56&lt;=0,0,IF(AB56=1,AA56,0))</f>
        <v/>
      </c>
    </row>
    <row r="57" ht="24.5" customHeight="1">
      <c r="A57" s="207" t="inlineStr">
        <is>
          <t>Salzreduktion</t>
        </is>
      </c>
      <c r="B57" s="245" t="n"/>
      <c r="C57" s="246" t="n"/>
      <c r="D57" s="204" t="inlineStr">
        <is>
          <t>Ernaehrung</t>
        </is>
      </c>
      <c r="E57" s="247" t="inlineStr">
        <is>
          <t>A</t>
        </is>
      </c>
      <c r="F57" s="248">
        <f>IF(OR($B57="x",$C57="x"),"",MAX(0,Parameter!$B$36/(((SUM(G328:V328)+SUM(G348:V348))^(1/Parameter!$B$40))*Parameter!$D$88)^(1/Parameter!$B$38)-Parameter!$D$92))</f>
        <v/>
      </c>
      <c r="G57" s="249" t="n"/>
      <c r="H57" s="249" t="n"/>
      <c r="I57" s="249" t="n"/>
      <c r="J57" s="250">
        <f>Parameter!D272</f>
        <v/>
      </c>
      <c r="K57" s="249" t="n"/>
      <c r="L57" s="249" t="n"/>
      <c r="M57" s="249" t="n"/>
      <c r="N57" s="249" t="n"/>
      <c r="O57" s="250">
        <f>Parameter!J272</f>
        <v/>
      </c>
      <c r="P57" s="249" t="n"/>
      <c r="Q57" s="249" t="n"/>
      <c r="R57" s="249" t="n"/>
      <c r="S57" s="249" t="n"/>
      <c r="T57" s="249" t="n"/>
      <c r="U57" s="249" t="n"/>
      <c r="V57" s="249" t="n"/>
      <c r="W57" s="251" t="inlineStr">
        <is>
          <t>Blutdruck unter 130/80.</t>
        </is>
      </c>
      <c r="X57" s="252" t="inlineStr">
        <is>
          <t>Kostet nichts und wirkt zuverlaessig, besonders bei den salzsensitiven Genotypen dieser Kategorie.</t>
        </is>
      </c>
      <c r="AA57">
        <f>IF(N(F57)=0,0,F57-ROW()/1000000)</f>
        <v/>
      </c>
      <c r="AB57">
        <f>SUMPRODUCT(($D$40:$D$81=$D57)*($AA$40:$AA$81&gt;AA57))+1</f>
        <v/>
      </c>
      <c r="AC57">
        <f>IF(AA57&lt;=0,0,IF(AB57=1,AA57,0))</f>
        <v/>
      </c>
    </row>
    <row r="58" ht="57.5" customHeight="1">
      <c r="A58" s="207" t="inlineStr">
        <is>
          <t>Aromatasehemmer</t>
        </is>
      </c>
      <c r="B58" s="245" t="n"/>
      <c r="C58" s="246" t="n"/>
      <c r="D58" s="204" t="inlineStr">
        <is>
          <t>Aromatasehemmer</t>
        </is>
      </c>
      <c r="E58" s="247" t="inlineStr">
        <is>
          <t>B</t>
        </is>
      </c>
      <c r="F58" s="248">
        <f>IF(OR($B58="x",$C58="x"),"",MAX(0,Parameter!$B$36/(((SUM(G328:V328)+SUM(G349:V349))^(1/Parameter!$B$40))*Parameter!$D$88)^(1/Parameter!$B$38)-Parameter!$D$92))</f>
        <v/>
      </c>
      <c r="G58" s="249" t="n"/>
      <c r="H58" s="253">
        <f>Parameter!F273</f>
        <v/>
      </c>
      <c r="I58" s="249" t="n"/>
      <c r="J58" s="249" t="n"/>
      <c r="K58" s="249" t="n"/>
      <c r="L58" s="249" t="n"/>
      <c r="M58" s="249" t="n"/>
      <c r="N58" s="253">
        <f>Parameter!K273</f>
        <v/>
      </c>
      <c r="O58" s="249" t="n"/>
      <c r="P58" s="249" t="n"/>
      <c r="Q58" s="249" t="n"/>
      <c r="R58" s="249" t="n"/>
      <c r="S58" s="249" t="n"/>
      <c r="T58" s="249" t="n"/>
      <c r="U58" s="249" t="n"/>
      <c r="V58" s="250">
        <f>Parameter!B273</f>
        <v/>
      </c>
      <c r="W58" s="251" t="inlineStr">
        <is>
          <t>E2 im Zielbereich, NICHT gecrasht. HDL dabei mitlaufen lassen.</t>
        </is>
      </c>
      <c r="X58" s="252" t="inlineStr">
        <is>
          <t>Ein zu tief gedruecktes E2 kostet Stimmung, Antrieb, Gelenke, Knochendichte und HDL. Deshalb steht hier ein Psyche-Minus, obwohl der Stoff auf dem Papier ein Schutzmittel ist. Niedrigste wirksame Dosis, und nur mit Messwert.</t>
        </is>
      </c>
      <c r="AA58">
        <f>IF(N(F58)=0,0,F58-ROW()/1000000)</f>
        <v/>
      </c>
      <c r="AB58">
        <f>SUMPRODUCT(($D$40:$D$81=$D58)*($AA$40:$AA$81&gt;AA58))+1</f>
        <v/>
      </c>
      <c r="AC58">
        <f>IF(AA58&lt;=0,0,IF(AB58=1,AA58,0))</f>
        <v/>
      </c>
    </row>
    <row r="59" ht="90.5" customHeight="1">
      <c r="A59" s="207" t="inlineStr">
        <is>
          <t>5-alpha-Reduktase-Hemmer</t>
        </is>
      </c>
      <c r="B59" s="245" t="n"/>
      <c r="C59" s="246" t="n"/>
      <c r="D59" s="204" t="inlineStr">
        <is>
          <t>5AR-Hemmer</t>
        </is>
      </c>
      <c r="E59" s="247" t="inlineStr">
        <is>
          <t>A</t>
        </is>
      </c>
      <c r="F59" s="248">
        <f>IF(OR($B59="x",$C59="x"),"",MAX(0,Parameter!$B$36/(((SUM(G328:V328)+SUM(G350:V350))^(1/Parameter!$B$40))*Parameter!$D$88)^(1/Parameter!$B$38)-Parameter!$D$92))</f>
        <v/>
      </c>
      <c r="G59" s="249" t="n"/>
      <c r="H59" s="249" t="n"/>
      <c r="I59" s="249" t="n"/>
      <c r="J59" s="249" t="n"/>
      <c r="K59" s="250">
        <f>Parameter!M274</f>
        <v/>
      </c>
      <c r="L59" s="249" t="n"/>
      <c r="M59" s="249" t="n"/>
      <c r="N59" s="253">
        <f>Parameter!K274</f>
        <v/>
      </c>
      <c r="O59" s="249" t="n"/>
      <c r="P59" s="249" t="n"/>
      <c r="Q59" s="249" t="n"/>
      <c r="R59" s="249" t="n"/>
      <c r="S59" s="249" t="n"/>
      <c r="T59" s="249" t="n"/>
      <c r="U59" s="249" t="n"/>
      <c r="V59" s="249" t="n"/>
      <c r="W59" s="251" t="inlineStr">
        <is>
          <t>Kein Laborziel - der Effekt zeigt sich am Haaransatz, nicht im Blut.</t>
        </is>
      </c>
      <c r="X59" s="252" t="inlineStr">
        <is>
          <t>ZWEISCHNEIDIG. Weniger DHT heisst weniger androgener Druck auf den Herzmuskel - deshalb steht dort ein Plus. Dem gegenueber steht das groesste Psyche-Minus dieser Liste: anhaltende Depression, Anhedonie und Libidoverlust nach dem Absetzen sind gut dokumentiert, und es gibt ein Suizidalitaets-Signal. Wer dazu neigt oder eine Vorgeschichte hat, bespricht das vorher mit einem Arzt und nicht mit dem Coach.</t>
        </is>
      </c>
      <c r="AA59">
        <f>IF(N(F59)=0,0,F59-ROW()/1000000)</f>
        <v/>
      </c>
      <c r="AB59">
        <f>SUMPRODUCT(($D$40:$D$81=$D59)*($AA$40:$AA$81&gt;AA59))+1</f>
        <v/>
      </c>
      <c r="AC59">
        <f>IF(AA59&lt;=0,0,IF(AB59=1,AA59,0))</f>
        <v/>
      </c>
    </row>
    <row r="60" ht="35.5" customHeight="1">
      <c r="A60" s="207" t="inlineStr">
        <is>
          <t>ASS niedrig dosiert</t>
        </is>
      </c>
      <c r="B60" s="245" t="n"/>
      <c r="C60" s="246" t="n"/>
      <c r="D60" s="204" t="inlineStr">
        <is>
          <t>Thrombozytenhemmer</t>
        </is>
      </c>
      <c r="E60" s="247" t="inlineStr">
        <is>
          <t>A</t>
        </is>
      </c>
      <c r="F60" s="248">
        <f>IF(OR($B60="x",$C60="x"),"",MAX(0,Parameter!$B$36/(((SUM(G328:V328)+SUM(G351:V351))^(1/Parameter!$B$40))*Parameter!$D$88)^(1/Parameter!$B$38)-Parameter!$D$92))</f>
        <v/>
      </c>
      <c r="G60" s="249" t="n"/>
      <c r="H60" s="249" t="n"/>
      <c r="I60" s="249" t="n"/>
      <c r="J60" s="249" t="n"/>
      <c r="K60" s="249" t="n"/>
      <c r="L60" s="250">
        <f>Parameter!I275</f>
        <v/>
      </c>
      <c r="M60" s="250">
        <f>Parameter!N275</f>
        <v/>
      </c>
      <c r="N60" s="249" t="n"/>
      <c r="O60" s="249" t="n"/>
      <c r="P60" s="249" t="n"/>
      <c r="Q60" s="249" t="n"/>
      <c r="R60" s="249" t="n"/>
      <c r="S60" s="249" t="n"/>
      <c r="T60" s="249" t="n"/>
      <c r="U60" s="249" t="n"/>
      <c r="V60" s="249" t="n"/>
      <c r="W60" s="251" t="inlineStr">
        <is>
          <t>Kein Laborziel.</t>
        </is>
      </c>
      <c r="X60" s="252" t="inlineStr">
        <is>
          <t>Wirkt auf Blutplaettchen, also auf die arterielle Seite. Gegen die venoesen Gerinnungsvarianten dieser Kategorie richtet es fast nichts aus.</t>
        </is>
      </c>
      <c r="AA60">
        <f>IF(N(F60)=0,0,F60-ROW()/1000000)</f>
        <v/>
      </c>
      <c r="AB60">
        <f>SUMPRODUCT(($D$40:$D$81=$D60)*($AA$40:$AA$81&gt;AA60))+1</f>
        <v/>
      </c>
      <c r="AC60">
        <f>IF(AA60&lt;=0,0,IF(AB60=1,AA60,0))</f>
        <v/>
      </c>
    </row>
    <row r="61" ht="46.5" customHeight="1">
      <c r="A61" s="207" t="inlineStr">
        <is>
          <t>Cabergolin oder P5P</t>
        </is>
      </c>
      <c r="B61" s="245" t="n"/>
      <c r="C61" s="246" t="n"/>
      <c r="D61" s="204" t="inlineStr">
        <is>
          <t>Prolaktin</t>
        </is>
      </c>
      <c r="E61" s="247" t="inlineStr">
        <is>
          <t>B</t>
        </is>
      </c>
      <c r="F61" s="248">
        <f>IF(OR($B61="x",$C61="x"),"",MAX(0,Parameter!$B$36/(((SUM(G328:V328)+SUM(G352:V352))^(1/Parameter!$B$40))*Parameter!$D$88)^(1/Parameter!$B$38)-Parameter!$D$92))</f>
        <v/>
      </c>
      <c r="G61" s="249" t="n"/>
      <c r="H61" s="249" t="n"/>
      <c r="I61" s="249" t="n"/>
      <c r="J61" s="249" t="n"/>
      <c r="K61" s="249" t="n"/>
      <c r="L61" s="249" t="n"/>
      <c r="M61" s="249" t="n"/>
      <c r="N61" s="250">
        <f>Parameter!K276</f>
        <v/>
      </c>
      <c r="O61" s="249" t="n"/>
      <c r="P61" s="249" t="n"/>
      <c r="Q61" s="249" t="n"/>
      <c r="R61" s="249" t="n"/>
      <c r="S61" s="249" t="n"/>
      <c r="T61" s="249" t="n"/>
      <c r="U61" s="249" t="n"/>
      <c r="V61" s="249" t="n"/>
      <c r="W61" s="251" t="inlineStr">
        <is>
          <t>Prolaktin im Normbereich.</t>
        </is>
      </c>
      <c r="X61" s="252" t="inlineStr">
        <is>
          <t>Holt Stimmung und Libido zurueck, wenn ein hohes Prolaktin der Grund war. Cabergolin selbst kann dafuer Impulskontrolle und Schlaf stoeren - niedrig dosieren, und nur mit gemessenem Prolaktin.</t>
        </is>
      </c>
      <c r="AA61">
        <f>IF(N(F61)=0,0,F61-ROW()/1000000)</f>
        <v/>
      </c>
      <c r="AB61">
        <f>SUMPRODUCT(($D$40:$D$81=$D61)*($AA$40:$AA$81&gt;AA61))+1</f>
        <v/>
      </c>
      <c r="AC61">
        <f>IF(AA61&lt;=0,0,IF(AB61=1,AA61,0))</f>
        <v/>
      </c>
    </row>
    <row r="62" ht="46.5" customHeight="1">
      <c r="A62" s="207" t="inlineStr">
        <is>
          <t>SERM (Tamoxifen, Raloxifen, Enclomifen)</t>
        </is>
      </c>
      <c r="B62" s="245" t="n"/>
      <c r="C62" s="246" t="n"/>
      <c r="D62" s="204" t="inlineStr">
        <is>
          <t>SERM</t>
        </is>
      </c>
      <c r="E62" s="247" t="inlineStr">
        <is>
          <t>B</t>
        </is>
      </c>
      <c r="F62" s="248">
        <f>IF(OR($B62="x",$C62="x"),"",MAX(0,Parameter!$B$36/(((SUM(G328:V328)+SUM(G353:V353))^(1/Parameter!$B$40))*Parameter!$D$88)^(1/Parameter!$B$38)-Parameter!$D$92))</f>
        <v/>
      </c>
      <c r="G62" s="249" t="n"/>
      <c r="H62" s="249" t="n"/>
      <c r="I62" s="249" t="n"/>
      <c r="J62" s="249" t="n"/>
      <c r="K62" s="249" t="n"/>
      <c r="L62" s="249" t="n"/>
      <c r="M62" s="249" t="n"/>
      <c r="N62" s="253">
        <f>Parameter!K277</f>
        <v/>
      </c>
      <c r="O62" s="249" t="n"/>
      <c r="P62" s="249" t="n"/>
      <c r="Q62" s="249" t="n"/>
      <c r="R62" s="249" t="n"/>
      <c r="S62" s="249" t="n"/>
      <c r="T62" s="249" t="n"/>
      <c r="U62" s="249" t="n"/>
      <c r="V62" s="250">
        <f>Parameter!B277</f>
        <v/>
      </c>
      <c r="W62" s="251" t="inlineStr">
        <is>
          <t>Bruestgewebe ruhig, E2 im Zielbereich - NICHT gecrasht.</t>
        </is>
      </c>
      <c r="X62" s="252" t="inlineStr">
        <is>
          <t>Halbes Gesundheitsplus wie der Aromatasehemmer, dafuer Minus beim Muskelaufbau - und ein Psyche-Minus: Stimmungstief, Reizbarkeit und Sehstoerungen sind bei Clomifen haeufig, bei Tamoxifen seltener.</t>
        </is>
      </c>
      <c r="AA62">
        <f>IF(N(F62)=0,0,F62-ROW()/1000000)</f>
        <v/>
      </c>
      <c r="AB62">
        <f>SUMPRODUCT(($D$40:$D$81=$D62)*($AA$40:$AA$81&gt;AA62))+1</f>
        <v/>
      </c>
      <c r="AC62">
        <f>IF(AA62&lt;=0,0,IF(AB62=1,AA62,0))</f>
        <v/>
      </c>
    </row>
    <row r="63" ht="90.5" customHeight="1">
      <c r="A63" s="254" t="inlineStr">
        <is>
          <t>Testosteron</t>
        </is>
      </c>
      <c r="B63" s="255" t="n"/>
      <c r="C63" s="255" t="n"/>
      <c r="D63" s="256" t="inlineStr">
        <is>
          <t>Basis</t>
        </is>
      </c>
      <c r="E63" s="257" t="inlineStr">
        <is>
          <t>A</t>
        </is>
      </c>
      <c r="F63" s="258" t="n"/>
      <c r="G63" s="259" t="n"/>
      <c r="H63" s="259" t="n"/>
      <c r="I63" s="259" t="n"/>
      <c r="J63" s="259" t="n"/>
      <c r="K63" s="259" t="n"/>
      <c r="L63" s="259" t="n"/>
      <c r="M63" s="259" t="n"/>
      <c r="N63" s="259" t="n"/>
      <c r="O63" s="259" t="n"/>
      <c r="P63" s="259" t="n"/>
      <c r="Q63" s="259" t="n"/>
      <c r="R63" s="259" t="n"/>
      <c r="S63" s="259" t="n"/>
      <c r="T63" s="259" t="n"/>
      <c r="U63" s="259" t="n"/>
      <c r="V63" s="259" t="n"/>
      <c r="W63" s="260" t="inlineStr">
        <is>
          <t>Haematokrit unter 47, HDL ueber 1,0, Blutdruck unter 130/80.</t>
        </is>
      </c>
      <c r="X63" s="261" t="inlineStr">
        <is>
          <t>DIE GRUNDLAST. Sie steckt bereits im Gesamt-Load oben und bekommt deshalb hier keine eigenen Faktoren - sonst waere sie doppelt gezaehlt. Alle folgenden Zeilen zeigen, was eine Substanz ZUSAETZLICH zu Testosteron auf einzelne Systeme legt. Testosteron aromatisiert, und das ist fuer die Blutfette ein Vorteil: in Studien verschlechterte gerade das BLOCKIEREN der Aromatase das Lipidprofil.</t>
        </is>
      </c>
    </row>
    <row r="64" ht="79.5" customHeight="1">
      <c r="A64" s="254" t="inlineStr">
        <is>
          <t>Nandrolon</t>
        </is>
      </c>
      <c r="B64" s="255" t="n"/>
      <c r="C64" s="255" t="n"/>
      <c r="D64" s="256" t="inlineStr">
        <is>
          <t>19-Nor</t>
        </is>
      </c>
      <c r="E64" s="257" t="inlineStr">
        <is>
          <t>B</t>
        </is>
      </c>
      <c r="F64" s="258" t="n"/>
      <c r="G64" s="262">
        <f>Parameter!O279</f>
        <v/>
      </c>
      <c r="H64" s="262">
        <f>Parameter!F279</f>
        <v/>
      </c>
      <c r="I64" s="259" t="n"/>
      <c r="J64" s="262">
        <f>Parameter!D279</f>
        <v/>
      </c>
      <c r="K64" s="262">
        <f>Parameter!M279</f>
        <v/>
      </c>
      <c r="L64" s="259" t="n"/>
      <c r="M64" s="259" t="n"/>
      <c r="N64" s="262">
        <f>Parameter!K279</f>
        <v/>
      </c>
      <c r="O64" s="262">
        <f>Parameter!J279</f>
        <v/>
      </c>
      <c r="P64" s="259" t="n"/>
      <c r="Q64" s="259" t="n"/>
      <c r="R64" s="259" t="n"/>
      <c r="S64" s="259" t="n"/>
      <c r="T64" s="259" t="n"/>
      <c r="U64" s="259" t="n"/>
      <c r="V64" s="259" t="n"/>
      <c r="W64" s="260" t="inlineStr">
        <is>
          <t>Prolaktin im Normbereich, HDL ueber 1,0.</t>
        </is>
      </c>
      <c r="X64" s="261" t="inlineStr">
        <is>
          <t>19-Nor. PROLAKTIN ist der Punkt, den die Liste noch nicht als Kategorie hat - Cabergolin oder P5P gehoeren hier ins Blickfeld, ebenso die progestogene Wirkung. Auf die Blutfette vergleichsweise moderat (rund 25 Prozent HDL-Abfall in einer Crossover-Studie), am Herzmuskel dagegen der auffaelligste der Injizierbaren.</t>
        </is>
      </c>
    </row>
    <row r="65" ht="101.5" customHeight="1">
      <c r="A65" s="254" t="inlineStr">
        <is>
          <t>Trenbolon</t>
        </is>
      </c>
      <c r="B65" s="255" t="n"/>
      <c r="C65" s="255" t="n"/>
      <c r="D65" s="256" t="inlineStr">
        <is>
          <t>19-Nor</t>
        </is>
      </c>
      <c r="E65" s="257" t="inlineStr">
        <is>
          <t>B</t>
        </is>
      </c>
      <c r="F65" s="258" t="n"/>
      <c r="G65" s="262">
        <f>Parameter!O280</f>
        <v/>
      </c>
      <c r="H65" s="262">
        <f>Parameter!F280</f>
        <v/>
      </c>
      <c r="I65" s="259" t="n"/>
      <c r="J65" s="262">
        <f>Parameter!D280</f>
        <v/>
      </c>
      <c r="K65" s="262">
        <f>Parameter!M280</f>
        <v/>
      </c>
      <c r="L65" s="259" t="n"/>
      <c r="M65" s="259" t="n"/>
      <c r="N65" s="262">
        <f>Parameter!K280</f>
        <v/>
      </c>
      <c r="O65" s="262">
        <f>Parameter!J280</f>
        <v/>
      </c>
      <c r="P65" s="259" t="n"/>
      <c r="Q65" s="262">
        <f>Parameter!L280</f>
        <v/>
      </c>
      <c r="R65" s="262">
        <f>Parameter!Q280</f>
        <v/>
      </c>
      <c r="S65" s="259" t="n"/>
      <c r="T65" s="259" t="n"/>
      <c r="U65" s="259" t="n"/>
      <c r="V65" s="262">
        <f>Parameter!B280</f>
        <v/>
      </c>
      <c r="W65" s="260" t="inlineStr">
        <is>
          <t>Kein Zielwert macht das gut. Wenn ueberhaupt: Cystatin C unter 0,90, HDL ueber 1,0, Blutdruck unter 130/80, Prolaktin normal.</t>
        </is>
      </c>
      <c r="X65" s="261" t="inlineStr">
        <is>
          <t>Der Stoff mit dem breitesten Schadensprofil auf diesem Blatt. 19-Nor, aromatisiert nicht (deshalb der E2-Eintrag: fehlendes Estrogen ist fuer Blutfette und Gelenke ein Nachteil, nicht nur fuer die Libido), starke Prolaktin- und Progesteronwirkung, in Fallberichten und Tiermodellen Hinweise auf Nierenschaedigung und Kardiomyopathie. Dazu Schlafstoerungen und Blutdruck. Wer den Score sehen will, ohne ihn zu veraendern, hakt genau diese Zeile an und aus.</t>
        </is>
      </c>
    </row>
    <row r="66" ht="57.5" customHeight="1">
      <c r="A66" s="254" t="inlineStr">
        <is>
          <t>Boldenon</t>
        </is>
      </c>
      <c r="B66" s="255" t="n"/>
      <c r="C66" s="255" t="n"/>
      <c r="D66" s="256" t="inlineStr">
        <is>
          <t>Sonstige AAS</t>
        </is>
      </c>
      <c r="E66" s="257" t="inlineStr">
        <is>
          <t>C</t>
        </is>
      </c>
      <c r="F66" s="258" t="n"/>
      <c r="G66" s="262">
        <f>Parameter!O281</f>
        <v/>
      </c>
      <c r="H66" s="262">
        <f>Parameter!F281</f>
        <v/>
      </c>
      <c r="I66" s="259" t="n"/>
      <c r="J66" s="259" t="n"/>
      <c r="K66" s="259" t="n"/>
      <c r="L66" s="259" t="n"/>
      <c r="M66" s="259" t="n"/>
      <c r="N66" s="262">
        <f>Parameter!K281</f>
        <v/>
      </c>
      <c r="O66" s="262">
        <f>Parameter!J281</f>
        <v/>
      </c>
      <c r="P66" s="259" t="n"/>
      <c r="Q66" s="259" t="n"/>
      <c r="R66" s="262">
        <f>Parameter!Q281</f>
        <v/>
      </c>
      <c r="S66" s="259" t="n"/>
      <c r="T66" s="259" t="n"/>
      <c r="U66" s="259" t="n"/>
      <c r="V66" s="259" t="n"/>
      <c r="W66" s="260" t="inlineStr">
        <is>
          <t>Haematokrit unter 47 - hier der entscheidende Wert.</t>
        </is>
      </c>
      <c r="X66" s="261" t="inlineStr">
        <is>
          <t>Treibt die Erythropoese staerker als die meisten anderen. Wer Boldenon faehrt, kontrolliert den Haematokrit engmaschig und plant die Blutspende von vornherein ein. Auf die Blutfette vergleichsweise freundlich.</t>
        </is>
      </c>
    </row>
    <row r="67" ht="79.5" customHeight="1">
      <c r="A67" s="254" t="inlineStr">
        <is>
          <t>Primobolan (Methenolon)</t>
        </is>
      </c>
      <c r="B67" s="255" t="n"/>
      <c r="C67" s="255" t="n"/>
      <c r="D67" s="256" t="inlineStr">
        <is>
          <t>DHT-Derivat</t>
        </is>
      </c>
      <c r="E67" s="257" t="inlineStr">
        <is>
          <t>C</t>
        </is>
      </c>
      <c r="F67" s="258" t="n"/>
      <c r="G67" s="262">
        <f>Parameter!O283</f>
        <v/>
      </c>
      <c r="H67" s="262">
        <f>Parameter!F283</f>
        <v/>
      </c>
      <c r="I67" s="259" t="n"/>
      <c r="J67" s="259" t="n"/>
      <c r="K67" s="259" t="n"/>
      <c r="L67" s="259" t="n"/>
      <c r="M67" s="259" t="n"/>
      <c r="N67" s="259" t="n"/>
      <c r="O67" s="259" t="n"/>
      <c r="P67" s="259" t="n"/>
      <c r="Q67" s="259" t="n"/>
      <c r="R67" s="259" t="n"/>
      <c r="S67" s="259" t="n"/>
      <c r="T67" s="259" t="n"/>
      <c r="U67" s="259" t="n"/>
      <c r="V67" s="262">
        <f>Parameter!B283</f>
        <v/>
      </c>
      <c r="W67" s="260" t="inlineStr">
        <is>
          <t>HDL ueber 1,0.</t>
        </is>
      </c>
      <c r="X67" s="261" t="inlineStr">
        <is>
          <t>Der mildeste der gaengigen Injizierbaren - aber nicht neutral am Oestrogen: Methenolon draengt E2 staerker nach unten als Drostanolon. Zu tiefes E2 ist kein Gewinn, sondern kostet Gelenke, Knochendichte, Libido und HDL, deshalb steht hier ein Minus und kein Plus. Ansonsten weniger auffaellig als der Rest der Klasse, was ihn nicht harmlos macht.</t>
        </is>
      </c>
    </row>
    <row r="68" ht="46.5" customHeight="1">
      <c r="A68" s="254" t="inlineStr">
        <is>
          <t>Drostanolon</t>
        </is>
      </c>
      <c r="B68" s="255" t="n"/>
      <c r="C68" s="255" t="n"/>
      <c r="D68" s="256" t="inlineStr">
        <is>
          <t>DHT-Derivat</t>
        </is>
      </c>
      <c r="E68" s="257" t="inlineStr">
        <is>
          <t>C</t>
        </is>
      </c>
      <c r="F68" s="258" t="n"/>
      <c r="G68" s="262">
        <f>Parameter!O282</f>
        <v/>
      </c>
      <c r="H68" s="262">
        <f>Parameter!F282</f>
        <v/>
      </c>
      <c r="I68" s="259" t="n"/>
      <c r="J68" s="259" t="n"/>
      <c r="K68" s="259" t="n"/>
      <c r="L68" s="259" t="n"/>
      <c r="M68" s="259" t="n"/>
      <c r="N68" s="259" t="n"/>
      <c r="O68" s="259" t="n"/>
      <c r="P68" s="259" t="n"/>
      <c r="Q68" s="259" t="n"/>
      <c r="R68" s="259" t="n"/>
      <c r="S68" s="259" t="n"/>
      <c r="T68" s="259" t="n"/>
      <c r="U68" s="259" t="n"/>
      <c r="V68" s="262">
        <f>Parameter!B282</f>
        <v/>
      </c>
      <c r="W68" s="260" t="inlineStr">
        <is>
          <t>HDL ueber 1,0.</t>
        </is>
      </c>
      <c r="X68" s="261" t="inlineStr">
        <is>
          <t>DHT-Derivat, aromatisiert nicht. Typisches Muster der Klasse: HDL runter, Haare und Prostata belastet, Estradiol gedrueckt. Der E2-Eintrag ist kein Tippfehler - zu wenig Estrogen ist ebenfalls ein Problem.</t>
        </is>
      </c>
    </row>
    <row r="69" ht="35.5" customHeight="1">
      <c r="A69" s="254" t="inlineStr">
        <is>
          <t>Turinabol</t>
        </is>
      </c>
      <c r="B69" s="255" t="n"/>
      <c r="C69" s="255" t="n"/>
      <c r="D69" s="256" t="inlineStr">
        <is>
          <t>Oral 17-aa</t>
        </is>
      </c>
      <c r="E69" s="257" t="inlineStr">
        <is>
          <t>C</t>
        </is>
      </c>
      <c r="F69" s="258" t="n"/>
      <c r="G69" s="262">
        <f>Parameter!O288</f>
        <v/>
      </c>
      <c r="H69" s="262">
        <f>Parameter!F288</f>
        <v/>
      </c>
      <c r="I69" s="262">
        <f>Parameter!E288</f>
        <v/>
      </c>
      <c r="J69" s="259" t="n"/>
      <c r="K69" s="259" t="n"/>
      <c r="L69" s="259" t="n"/>
      <c r="M69" s="259" t="n"/>
      <c r="N69" s="262">
        <f>Parameter!K288</f>
        <v/>
      </c>
      <c r="O69" s="262">
        <f>Parameter!J288</f>
        <v/>
      </c>
      <c r="P69" s="259" t="n"/>
      <c r="Q69" s="259" t="n"/>
      <c r="R69" s="259" t="n"/>
      <c r="S69" s="262">
        <f>Parameter!R288</f>
        <v/>
      </c>
      <c r="T69" s="259" t="n"/>
      <c r="U69" s="259" t="n"/>
      <c r="V69" s="259" t="n"/>
      <c r="W69" s="260" t="inlineStr">
        <is>
          <t>HDL ueber 1,0, ALT und AST im Rahmen.</t>
        </is>
      </c>
      <c r="X69" s="261" t="inlineStr">
        <is>
          <t>ORAL, 17-alpha-alkyliert: zusaetzlich oben den Oral-Schalter setzen. Milder als die uebrigen Orale, aromatisiert nicht.</t>
        </is>
      </c>
    </row>
    <row r="70" ht="68.5" customHeight="1">
      <c r="A70" s="254" t="inlineStr">
        <is>
          <t>Oxandrolon</t>
        </is>
      </c>
      <c r="B70" s="255" t="n"/>
      <c r="C70" s="255" t="n"/>
      <c r="D70" s="256" t="inlineStr">
        <is>
          <t>Oral 17-aa</t>
        </is>
      </c>
      <c r="E70" s="257" t="inlineStr">
        <is>
          <t>B</t>
        </is>
      </c>
      <c r="F70" s="258" t="n"/>
      <c r="G70" s="262">
        <f>Parameter!O284</f>
        <v/>
      </c>
      <c r="H70" s="262">
        <f>Parameter!F284</f>
        <v/>
      </c>
      <c r="I70" s="262">
        <f>Parameter!E284</f>
        <v/>
      </c>
      <c r="J70" s="259" t="n"/>
      <c r="K70" s="259" t="n"/>
      <c r="L70" s="259" t="n"/>
      <c r="M70" s="259" t="n"/>
      <c r="N70" s="262">
        <f>Parameter!K284</f>
        <v/>
      </c>
      <c r="O70" s="262">
        <f>Parameter!J284</f>
        <v/>
      </c>
      <c r="P70" s="259" t="n"/>
      <c r="Q70" s="259" t="n"/>
      <c r="R70" s="262">
        <f>Parameter!Q284</f>
        <v/>
      </c>
      <c r="S70" s="262">
        <f>Parameter!R284</f>
        <v/>
      </c>
      <c r="T70" s="259" t="n"/>
      <c r="U70" s="259" t="n"/>
      <c r="V70" s="259" t="n"/>
      <c r="W70" s="260" t="inlineStr">
        <is>
          <t>HDL ueber 1,0, ALT und AST im Rahmen.</t>
        </is>
      </c>
      <c r="X70" s="261" t="inlineStr">
        <is>
          <t>Der leberfreundlichste der 17-alpha-alkylierten - deshalb hier weniger Leberminus als bei den anderen. Dafuer ein eigenes Nierenthema: Kreatininanstieg und Belastung der Niere sind gut dokumentiert und werden gern als 'nur mehr Muskelmasse' wegerklaert. Das Lipidprofil bleibt uebel.</t>
        </is>
      </c>
    </row>
    <row r="71" ht="46.5" customHeight="1">
      <c r="A71" s="254" t="inlineStr">
        <is>
          <t>Methandienon</t>
        </is>
      </c>
      <c r="B71" s="255" t="n"/>
      <c r="C71" s="255" t="n"/>
      <c r="D71" s="256" t="inlineStr">
        <is>
          <t>Oral 17-aa</t>
        </is>
      </c>
      <c r="E71" s="257" t="inlineStr">
        <is>
          <t>B</t>
        </is>
      </c>
      <c r="F71" s="258" t="n"/>
      <c r="G71" s="262">
        <f>Parameter!O287</f>
        <v/>
      </c>
      <c r="H71" s="262">
        <f>Parameter!F287</f>
        <v/>
      </c>
      <c r="I71" s="262">
        <f>Parameter!E287</f>
        <v/>
      </c>
      <c r="J71" s="262">
        <f>Parameter!D287</f>
        <v/>
      </c>
      <c r="K71" s="259" t="n"/>
      <c r="L71" s="259" t="n"/>
      <c r="M71" s="259" t="n"/>
      <c r="N71" s="262">
        <f>Parameter!K287</f>
        <v/>
      </c>
      <c r="O71" s="262">
        <f>Parameter!J287</f>
        <v/>
      </c>
      <c r="P71" s="259" t="n"/>
      <c r="Q71" s="259" t="n"/>
      <c r="R71" s="259" t="n"/>
      <c r="S71" s="262">
        <f>Parameter!R287</f>
        <v/>
      </c>
      <c r="T71" s="259" t="n"/>
      <c r="U71" s="259" t="n"/>
      <c r="V71" s="262">
        <f>Parameter!B287</f>
        <v/>
      </c>
      <c r="W71" s="260" t="inlineStr">
        <is>
          <t>ALT und AST im Rahmen, Blutdruck unter 130/80, E2 im Zielbereich.</t>
        </is>
      </c>
      <c r="X71" s="261" t="inlineStr">
        <is>
          <t>ORAL, 17-alpha-alkyliert: zusaetzlich oben den Oral-Schalter setzen. Aromatisiert stark, daher der E2-Eintrag und die Wassereinlagerung, die den Blutdruck treibt.</t>
        </is>
      </c>
    </row>
    <row r="72" ht="46.5" customHeight="1">
      <c r="A72" s="254" t="inlineStr">
        <is>
          <t>Stanozolol</t>
        </is>
      </c>
      <c r="B72" s="255" t="n"/>
      <c r="C72" s="255" t="n"/>
      <c r="D72" s="256" t="inlineStr">
        <is>
          <t>Oral 17-aa</t>
        </is>
      </c>
      <c r="E72" s="257" t="inlineStr">
        <is>
          <t>B</t>
        </is>
      </c>
      <c r="F72" s="258" t="n"/>
      <c r="G72" s="262">
        <f>Parameter!O285</f>
        <v/>
      </c>
      <c r="H72" s="262">
        <f>Parameter!F285</f>
        <v/>
      </c>
      <c r="I72" s="262">
        <f>Parameter!E285</f>
        <v/>
      </c>
      <c r="J72" s="259" t="n"/>
      <c r="K72" s="259" t="n"/>
      <c r="L72" s="262">
        <f>Parameter!I285</f>
        <v/>
      </c>
      <c r="M72" s="259" t="n"/>
      <c r="N72" s="262">
        <f>Parameter!K285</f>
        <v/>
      </c>
      <c r="O72" s="262">
        <f>Parameter!J285</f>
        <v/>
      </c>
      <c r="P72" s="259" t="n"/>
      <c r="Q72" s="259" t="n"/>
      <c r="R72" s="259" t="n"/>
      <c r="S72" s="262">
        <f>Parameter!R285</f>
        <v/>
      </c>
      <c r="T72" s="259" t="n"/>
      <c r="U72" s="259" t="n"/>
      <c r="V72" s="259" t="n"/>
      <c r="W72" s="260" t="inlineStr">
        <is>
          <t>HDL ueber 1,0, LDL unter 2,5, ALT und AST im Rahmen.</t>
        </is>
      </c>
      <c r="X72" s="261" t="inlineStr">
        <is>
          <t>Der Stoff mit dem deutlichsten Kollagenproblem: verminderte Elastizitaet von Sehnen bis zur Gefaesswand, deshalb hier das groesste Minus der Liste. Dazu das schlechteste Lipidprofil aller gaengigen Oralen.</t>
        </is>
      </c>
    </row>
    <row r="73" ht="46.5" customHeight="1">
      <c r="A73" s="254" t="inlineStr">
        <is>
          <t>Oxymetholon</t>
        </is>
      </c>
      <c r="B73" s="255" t="n"/>
      <c r="C73" s="255" t="n"/>
      <c r="D73" s="256" t="inlineStr">
        <is>
          <t>Oral 17-aa</t>
        </is>
      </c>
      <c r="E73" s="257" t="inlineStr">
        <is>
          <t>B</t>
        </is>
      </c>
      <c r="F73" s="258" t="n"/>
      <c r="G73" s="262">
        <f>Parameter!O286</f>
        <v/>
      </c>
      <c r="H73" s="262">
        <f>Parameter!F286</f>
        <v/>
      </c>
      <c r="I73" s="262">
        <f>Parameter!E286</f>
        <v/>
      </c>
      <c r="J73" s="262">
        <f>Parameter!D286</f>
        <v/>
      </c>
      <c r="K73" s="259" t="n"/>
      <c r="L73" s="259" t="n"/>
      <c r="M73" s="259" t="n"/>
      <c r="N73" s="262">
        <f>Parameter!K286</f>
        <v/>
      </c>
      <c r="O73" s="262">
        <f>Parameter!J286</f>
        <v/>
      </c>
      <c r="P73" s="259" t="n"/>
      <c r="Q73" s="259" t="n"/>
      <c r="R73" s="259" t="n"/>
      <c r="S73" s="262">
        <f>Parameter!R286</f>
        <v/>
      </c>
      <c r="T73" s="259" t="n"/>
      <c r="U73" s="259" t="n"/>
      <c r="V73" s="259" t="n"/>
      <c r="W73" s="260" t="inlineStr">
        <is>
          <t>ALT und AST im Rahmen, Haematokrit unter 47, Blutdruck unter 130/80.</t>
        </is>
      </c>
      <c r="X73" s="261" t="inlineStr">
        <is>
          <t>ORAL, 17-alpha-alkyliert: zusaetzlich oben den Oral-Schalter setzen. Auf die Leber und den Haematokrit der haerteste der gaengigen Orale, dazu Wassereinlagerung und Blutdruck.</t>
        </is>
      </c>
    </row>
    <row r="74" ht="68.5" customHeight="1">
      <c r="A74" s="254" t="inlineStr">
        <is>
          <t>SARM (RAD-140, LGD-4033, Ostarin)</t>
        </is>
      </c>
      <c r="B74" s="255" t="n"/>
      <c r="C74" s="255" t="n"/>
      <c r="D74" s="256" t="inlineStr">
        <is>
          <t>SARM</t>
        </is>
      </c>
      <c r="E74" s="257" t="inlineStr">
        <is>
          <t>C</t>
        </is>
      </c>
      <c r="F74" s="258" t="n"/>
      <c r="G74" s="262">
        <f>Parameter!O289</f>
        <v/>
      </c>
      <c r="H74" s="262">
        <f>Parameter!F289</f>
        <v/>
      </c>
      <c r="I74" s="262">
        <f>Parameter!E289</f>
        <v/>
      </c>
      <c r="J74" s="259" t="n"/>
      <c r="K74" s="259" t="n"/>
      <c r="L74" s="259" t="n"/>
      <c r="M74" s="259" t="n"/>
      <c r="N74" s="262">
        <f>Parameter!K289</f>
        <v/>
      </c>
      <c r="O74" s="259" t="n"/>
      <c r="P74" s="259" t="n"/>
      <c r="Q74" s="259" t="n"/>
      <c r="R74" s="259" t="n"/>
      <c r="S74" s="262">
        <f>Parameter!R289</f>
        <v/>
      </c>
      <c r="T74" s="259" t="n"/>
      <c r="U74" s="259" t="n"/>
      <c r="V74" s="259" t="n"/>
      <c r="W74" s="260" t="inlineStr">
        <is>
          <t>HDL ueber 1,0, ALT und AST im Rahmen.</t>
        </is>
      </c>
      <c r="X74" s="261" t="inlineStr">
        <is>
          <t>Werden als milde Alternative verkauft und sind es nicht. Zu mehreren Vertretern gibt es Fallberichte ueber schwere Leberschaeden, das HDL faellt aehnlich deutlich wie unter Oralen. Keiner davon ist als Arzneimittel zugelassen, die Produktqualitaet auf dem grauen Markt ist entsprechend unklar.</t>
        </is>
      </c>
    </row>
    <row r="75" ht="46.5" customHeight="1">
      <c r="A75" s="254" t="inlineStr">
        <is>
          <t>Wachstumshormon (hGH)</t>
        </is>
      </c>
      <c r="B75" s="255" t="n"/>
      <c r="C75" s="255" t="n"/>
      <c r="D75" s="256" t="inlineStr">
        <is>
          <t>Peptidhormon</t>
        </is>
      </c>
      <c r="E75" s="257" t="inlineStr">
        <is>
          <t>B</t>
        </is>
      </c>
      <c r="F75" s="258" t="n"/>
      <c r="G75" s="259" t="n"/>
      <c r="H75" s="259" t="n"/>
      <c r="I75" s="259" t="n"/>
      <c r="J75" s="262">
        <f>Parameter!D290</f>
        <v/>
      </c>
      <c r="K75" s="262">
        <f>Parameter!M290</f>
        <v/>
      </c>
      <c r="L75" s="259" t="n"/>
      <c r="M75" s="259" t="n"/>
      <c r="N75" s="259" t="n"/>
      <c r="O75" s="262">
        <f>Parameter!J290</f>
        <v/>
      </c>
      <c r="P75" s="259" t="n"/>
      <c r="Q75" s="259" t="n"/>
      <c r="R75" s="259" t="n"/>
      <c r="S75" s="259" t="n"/>
      <c r="T75" s="262">
        <f>Parameter!T290</f>
        <v/>
      </c>
      <c r="U75" s="259" t="n"/>
      <c r="V75" s="259" t="n"/>
      <c r="W75" s="260" t="inlineStr">
        <is>
          <t>Nuechternglukose unter 93 mg/dl bzw. HbA1c unter 5,7.</t>
        </is>
      </c>
      <c r="X75" s="261" t="inlineStr">
        <is>
          <t>Was bei Akromegalie zu sehen ist - erweiterte Aortenwurzel und undichte Aortenklappe - ist der Grund fuer das Minus an der Gefaesswand. Bei den hier ueblichen Dosen abgeschwaecht, aber in dieselbe Richtung.</t>
        </is>
      </c>
    </row>
    <row r="76" ht="57.5" customHeight="1">
      <c r="A76" s="254" t="inlineStr">
        <is>
          <t>Insulin</t>
        </is>
      </c>
      <c r="B76" s="255" t="n"/>
      <c r="C76" s="255" t="n"/>
      <c r="D76" s="256" t="inlineStr">
        <is>
          <t>Insulin</t>
        </is>
      </c>
      <c r="E76" s="257" t="inlineStr">
        <is>
          <t>A</t>
        </is>
      </c>
      <c r="F76" s="258" t="n"/>
      <c r="G76" s="259" t="n"/>
      <c r="H76" s="259" t="n"/>
      <c r="I76" s="259" t="n"/>
      <c r="J76" s="259" t="n"/>
      <c r="K76" s="259" t="n"/>
      <c r="L76" s="259" t="n"/>
      <c r="M76" s="259" t="n"/>
      <c r="N76" s="259" t="n"/>
      <c r="O76" s="259" t="n"/>
      <c r="P76" s="259" t="n"/>
      <c r="Q76" s="259" t="n"/>
      <c r="R76" s="259" t="n"/>
      <c r="S76" s="259" t="n"/>
      <c r="T76" s="262">
        <f>Parameter!T291</f>
        <v/>
      </c>
      <c r="U76" s="259" t="n"/>
      <c r="V76" s="259" t="n"/>
      <c r="W76" s="260" t="inlineStr">
        <is>
          <t>Nuechternglukose unter 93 mg/dl.</t>
        </is>
      </c>
      <c r="X76" s="261" t="inlineStr">
        <is>
          <t>Das eigentliche Risiko bildet dieser Score NICHT ab: eine Unterzuckerung kann innerhalb von Stunden toedlich sein, unabhaengig von jedem Punktwert hier. Der Eintrag steht fuer die laengerfristige Stoffwechselwirkung.</t>
        </is>
      </c>
    </row>
    <row r="77" ht="68.5" customHeight="1">
      <c r="A77" s="254" t="inlineStr">
        <is>
          <t>Clenbuterol</t>
        </is>
      </c>
      <c r="B77" s="255" t="n"/>
      <c r="C77" s="255" t="n"/>
      <c r="D77" s="256" t="inlineStr">
        <is>
          <t>Beta-2-Agonist</t>
        </is>
      </c>
      <c r="E77" s="257" t="inlineStr">
        <is>
          <t>C</t>
        </is>
      </c>
      <c r="F77" s="258" t="n"/>
      <c r="G77" s="262">
        <f>Parameter!O292</f>
        <v/>
      </c>
      <c r="H77" s="259" t="n"/>
      <c r="I77" s="250">
        <f>Parameter!E292</f>
        <v/>
      </c>
      <c r="J77" s="259" t="n"/>
      <c r="K77" s="262">
        <f>Parameter!M292</f>
        <v/>
      </c>
      <c r="L77" s="259" t="n"/>
      <c r="M77" s="259" t="n"/>
      <c r="N77" s="262">
        <f>Parameter!K292</f>
        <v/>
      </c>
      <c r="O77" s="262">
        <f>Parameter!J292</f>
        <v/>
      </c>
      <c r="P77" s="250">
        <f>Parameter!G292</f>
        <v/>
      </c>
      <c r="Q77" s="262">
        <f>Parameter!L292</f>
        <v/>
      </c>
      <c r="R77" s="259" t="n"/>
      <c r="S77" s="259" t="n"/>
      <c r="T77" s="250">
        <f>Parameter!T292</f>
        <v/>
      </c>
      <c r="U77" s="259" t="n"/>
      <c r="V77" s="259" t="n"/>
      <c r="W77" s="260" t="inlineStr">
        <is>
          <t>Ruhepuls und Rhythmus unauffaellig.</t>
        </is>
      </c>
      <c r="X77" s="261" t="inlineStr">
        <is>
          <t>Zwei Gesichter. Als Beta-2-Agonist verbrennt er Fett und verbessert dabei Blutzucker und Triglyzeride - das sind die Pluszeichen. Dem gegenueber stehen Herzrhythmus, Herzmuskel und Psyche: Tremor, Herzrasen, Schlaflosigkeit und Panik. Baut ausser Fett auch Muskel ab.</t>
        </is>
      </c>
    </row>
    <row r="78" ht="46.5" customHeight="1">
      <c r="A78" s="254" t="inlineStr">
        <is>
          <t>T3 (Liothyronin)</t>
        </is>
      </c>
      <c r="B78" s="255" t="n"/>
      <c r="C78" s="255" t="n"/>
      <c r="D78" s="256" t="inlineStr">
        <is>
          <t>Schilddruesenhormon</t>
        </is>
      </c>
      <c r="E78" s="257" t="inlineStr">
        <is>
          <t>B</t>
        </is>
      </c>
      <c r="F78" s="258" t="n"/>
      <c r="G78" s="259" t="n"/>
      <c r="H78" s="259" t="n"/>
      <c r="I78" s="259" t="n"/>
      <c r="J78" s="259" t="n"/>
      <c r="K78" s="262">
        <f>Parameter!M293</f>
        <v/>
      </c>
      <c r="L78" s="259" t="n"/>
      <c r="M78" s="259" t="n"/>
      <c r="N78" s="262">
        <f>Parameter!K293</f>
        <v/>
      </c>
      <c r="O78" s="259" t="n"/>
      <c r="P78" s="259" t="n"/>
      <c r="Q78" s="262">
        <f>Parameter!L293</f>
        <v/>
      </c>
      <c r="R78" s="259" t="n"/>
      <c r="S78" s="259" t="n"/>
      <c r="T78" s="259" t="n"/>
      <c r="U78" s="259" t="n"/>
      <c r="V78" s="259" t="n"/>
      <c r="W78" s="260" t="inlineStr">
        <is>
          <t>TSH, fT3 und fT4 im Normbereich, Ruhepuls unauffaellig.</t>
        </is>
      </c>
      <c r="X78" s="261" t="inlineStr">
        <is>
          <t>Baut nicht nur Fett ab, sondern auch Muskel - daher der Minuseintrag beim Muskelaufbau. Am Herzen Rhythmusstoerungen und bei Dauergebrauch Hypertrophie. Nach dem Absetzen braucht die eigene Achse Zeit.</t>
        </is>
      </c>
    </row>
    <row r="79" ht="90.5" customHeight="1">
      <c r="A79" s="254" t="inlineStr">
        <is>
          <t>DNP</t>
        </is>
      </c>
      <c r="B79" s="255" t="n"/>
      <c r="C79" s="255" t="n"/>
      <c r="D79" s="256" t="inlineStr">
        <is>
          <t>Entkoppler</t>
        </is>
      </c>
      <c r="E79" s="257" t="inlineStr">
        <is>
          <t>A</t>
        </is>
      </c>
      <c r="F79" s="258" t="n"/>
      <c r="G79" s="259" t="n"/>
      <c r="H79" s="259" t="n"/>
      <c r="I79" s="259" t="n"/>
      <c r="J79" s="259" t="n"/>
      <c r="K79" s="259" t="n"/>
      <c r="L79" s="259" t="n"/>
      <c r="M79" s="259" t="n"/>
      <c r="N79" s="262">
        <f>Parameter!K294</f>
        <v/>
      </c>
      <c r="O79" s="259" t="n"/>
      <c r="P79" s="259" t="n"/>
      <c r="Q79" s="262">
        <f>Parameter!L294</f>
        <v/>
      </c>
      <c r="R79" s="262">
        <f>Parameter!Q294</f>
        <v/>
      </c>
      <c r="S79" s="262">
        <f>Parameter!R294</f>
        <v/>
      </c>
      <c r="T79" s="259" t="n"/>
      <c r="U79" s="259" t="n"/>
      <c r="V79" s="259" t="n"/>
      <c r="W79" s="260" t="inlineStr">
        <is>
          <t>Es gibt hier keinen Zielwert, der das sicher macht.</t>
        </is>
      </c>
      <c r="X79" s="261" t="inlineStr">
        <is>
          <t>KEIN PUNKTWERT AUF DIESEM BLATT BILDET DAS RICHTIG AB. DNP entkoppelt die Zellatmung; die toedliche Dosis liegt nah an der wirksamen, und es gibt keinen Gegenspieler. Todesfaelle sind aus normalen Anwendungsdosen dokumentiert, nicht nur aus Ueberdosierungen. Die Zeile steht hier, damit der Score nicht so tut, als waere die Substanz kostenlos - nicht, weil sich das Risiko in Punkten ausdruecken liesse.</t>
        </is>
      </c>
    </row>
    <row r="80" ht="150" customHeight="1">
      <c r="A80" s="254" t="inlineStr">
        <is>
          <t>Rauchen (10 Zigaretten pro Tag)</t>
        </is>
      </c>
      <c r="B80" s="255" t="n"/>
      <c r="C80" s="255" t="n"/>
      <c r="D80" s="256" t="inlineStr">
        <is>
          <t>Rauchen</t>
        </is>
      </c>
      <c r="E80" s="257" t="inlineStr">
        <is>
          <t>A</t>
        </is>
      </c>
      <c r="F80" s="258" t="n"/>
      <c r="G80" s="262">
        <f>Parameter!O295</f>
        <v/>
      </c>
      <c r="H80" s="262">
        <f>Parameter!F295</f>
        <v/>
      </c>
      <c r="I80" s="262">
        <f>Parameter!E295</f>
        <v/>
      </c>
      <c r="J80" s="262">
        <f>Parameter!D295</f>
        <v/>
      </c>
      <c r="K80" s="262">
        <f>Parameter!M295</f>
        <v/>
      </c>
      <c r="L80" s="262">
        <f>Parameter!I295</f>
        <v/>
      </c>
      <c r="M80" s="262">
        <f>Parameter!N295</f>
        <v/>
      </c>
      <c r="N80" s="262">
        <f>Parameter!K295</f>
        <v/>
      </c>
      <c r="O80" s="262">
        <f>Parameter!J295</f>
        <v/>
      </c>
      <c r="P80" s="259" t="n"/>
      <c r="Q80" s="262">
        <f>Parameter!L295</f>
        <v/>
      </c>
      <c r="R80" s="262">
        <f>Parameter!Q295</f>
        <v/>
      </c>
      <c r="S80" s="259" t="n"/>
      <c r="T80" s="262">
        <f>Parameter!T295</f>
        <v/>
      </c>
      <c r="U80" s="259" t="n"/>
      <c r="V80" s="259" t="n"/>
      <c r="W80" s="260" t="inlineStr">
        <is>
          <t>Null. Es gibt keine unbedenkliche Menge.</t>
        </is>
      </c>
      <c r="X80" s="261" t="inlineStr">
        <is>
          <t>Der groesste Einzelwert dieser Liste steht bei der Gefaesswand, und das ist kein Versehen: aktuelle Raucher haben ein rund fuenffaches Risiko fuer ein Bauchaortenaneurysma, je zehn Zigaretten taeglich kommt ein Faktor 1,9 dazu. In dieser Kategorie steckt seit dieser Fassung auch die Lunge - Emphysem und Aneurysma sind dieselbe Biologie, zerlegtes Elastin. HERZ UND SCHLAGANFALL SKALIEREN NICHT LINEAR: schon eine Zigarette am Tag traegt rund 46 Prozent des Ueberrisikos von zwanzig. Zehn am Tag sind naeher an einer Schachtel als an der Haelfte, Runterrauchen bringt also weit weniger als es sich anfuehlt. Dazu die Raucherpolyglobulie: Kohlenmonoxid bindet Haemoglobin, der Koerper legt Erythrozyten nach - auf einem System, das der Stack ohnehin hochtreibt. NICHT ABGEBILDET: Krebs. Das Modell kennt keine Krebskategorie, deshalb ist der Wert hier eher zu freundlich als zu hart.</t>
        </is>
      </c>
    </row>
    <row r="81" ht="150" customHeight="1">
      <c r="A81" s="254" t="inlineStr">
        <is>
          <t>Alkohol (5 Bier pro Tag)</t>
        </is>
      </c>
      <c r="B81" s="255" t="n"/>
      <c r="C81" s="255" t="n"/>
      <c r="D81" s="256" t="inlineStr">
        <is>
          <t>Alkohol</t>
        </is>
      </c>
      <c r="E81" s="257" t="inlineStr">
        <is>
          <t>A</t>
        </is>
      </c>
      <c r="F81" s="258" t="n"/>
      <c r="G81" s="259" t="n"/>
      <c r="H81" s="259" t="n"/>
      <c r="I81" s="259" t="n"/>
      <c r="J81" s="262">
        <f>Parameter!D296</f>
        <v/>
      </c>
      <c r="K81" s="262">
        <f>Parameter!M296</f>
        <v/>
      </c>
      <c r="L81" s="262">
        <f>Parameter!I296</f>
        <v/>
      </c>
      <c r="M81" s="259" t="n"/>
      <c r="N81" s="262">
        <f>Parameter!K296</f>
        <v/>
      </c>
      <c r="O81" s="262">
        <f>Parameter!J296</f>
        <v/>
      </c>
      <c r="P81" s="262">
        <f>Parameter!G296</f>
        <v/>
      </c>
      <c r="Q81" s="262">
        <f>Parameter!L296</f>
        <v/>
      </c>
      <c r="R81" s="259" t="n"/>
      <c r="S81" s="262">
        <f>Parameter!R296</f>
        <v/>
      </c>
      <c r="T81" s="262">
        <f>Parameter!T296</f>
        <v/>
      </c>
      <c r="U81" s="259" t="n"/>
      <c r="V81" s="259" t="n"/>
      <c r="W81" s="260" t="inlineStr">
        <is>
          <t>Unter 100 g Reinalkohol pro Woche, das sind rund vier bis fuenf Bier die WOCHE. Fuenf am Tag sind das Sieben- bis Zehnfache davon.</t>
        </is>
      </c>
      <c r="X81" s="261" t="inlineStr">
        <is>
          <t>Fuenf Bier taeglich sind rund 100 g Reinalkohol am Tag und damit etwa 700 g die Woche. Ab 350 g die Woche kostet Alkohol rund vier bis fuenf Jahre Lebenserwartung ab 40 - das ist die Groessenordnung, in der hier gerechnet wird, und die Menge liegt beim Doppelten dieser Schwelle. Blutdruck steigt dosisabhaengig um grob 1 mmHg je 10 g am Tag, Triglyzeride reagieren stark, Vorhofflimmern und die alkoholische Kardiomyopathie kommen bei dieser Dauerlast dazu, und die Leber ist das Organ, das zuerst nachgibt. KEIN HDL-PLUS: Alkohol hebt das HDL messbar, aber Mendelsche Randomisierung zeigt, dass dieses HDL nicht schuetzt. Ein Pluszeichen dafuer waere geschoent. NICHT ABGEBILDET: Krebs - Alkohol ist als Gruppe-1-Karzinogen eingestuft, das Modell hat dafuer keine Kategorie.</t>
        </is>
      </c>
    </row>
    <row r="82"/>
    <row r="83" hidden="1" outlineLevel="1">
      <c r="A83" s="263" t="inlineStr">
        <is>
          <t>Rechenhilfe - nicht anfassen</t>
        </is>
      </c>
    </row>
    <row r="84" hidden="1" outlineLevel="1">
      <c r="A84" s="264" t="inlineStr">
        <is>
          <t>W (max Malus)</t>
        </is>
      </c>
      <c r="G84" s="265" t="n">
        <v>8.333299999999999</v>
      </c>
      <c r="H84" s="265" t="n">
        <v>8.333299999999999</v>
      </c>
      <c r="I84" s="265" t="n">
        <v>8.333299999999999</v>
      </c>
      <c r="J84" s="265" t="n">
        <v>8.333299999999999</v>
      </c>
      <c r="K84" s="265" t="n">
        <v>8.333299999999999</v>
      </c>
      <c r="L84" s="265" t="n">
        <v>8.333299999999999</v>
      </c>
      <c r="M84" s="265" t="n">
        <v>8.333299999999999</v>
      </c>
      <c r="N84" s="265" t="n">
        <v>8.333299999999999</v>
      </c>
      <c r="O84" s="265" t="n">
        <v>8.333299999999999</v>
      </c>
      <c r="P84" s="265" t="n">
        <v>4.1667</v>
      </c>
      <c r="Q84" s="265" t="n">
        <v>4.1667</v>
      </c>
      <c r="R84" s="265" t="n">
        <v>4.1667</v>
      </c>
      <c r="S84" s="265" t="n">
        <v>4.1667</v>
      </c>
      <c r="T84" s="265" t="n">
        <v>4.1667</v>
      </c>
      <c r="U84" s="265" t="n">
        <v>2.0833</v>
      </c>
      <c r="V84" s="265" t="n">
        <v>2.0833</v>
      </c>
    </row>
    <row r="85" hidden="1" outlineLevel="1">
      <c r="A85" s="264" t="inlineStr">
        <is>
          <t>Index genetisch</t>
        </is>
      </c>
      <c r="G85" s="265" t="n">
        <v>0.2</v>
      </c>
      <c r="H85" s="265" t="n">
        <v>0.2</v>
      </c>
      <c r="I85" s="265" t="n">
        <v>0.2</v>
      </c>
      <c r="J85" s="265" t="n">
        <v>0.2</v>
      </c>
      <c r="K85" s="265" t="n">
        <v>0.2</v>
      </c>
      <c r="L85" s="265" t="n">
        <v>0.2</v>
      </c>
      <c r="M85" s="265" t="n">
        <v>0.2</v>
      </c>
      <c r="N85" s="265" t="n">
        <v>0.2</v>
      </c>
      <c r="O85" s="265" t="n">
        <v>0.2</v>
      </c>
      <c r="P85" s="265" t="n">
        <v>0.2</v>
      </c>
      <c r="Q85" s="265" t="n">
        <v>0.2</v>
      </c>
      <c r="R85" s="265" t="n">
        <v>0.2</v>
      </c>
      <c r="S85" s="265" t="n">
        <v>0.2</v>
      </c>
      <c r="T85" s="265" t="n">
        <v>0.2</v>
      </c>
      <c r="U85" s="265" t="n">
        <v>0.2</v>
      </c>
      <c r="V85" s="265" t="n">
        <v>0.2</v>
      </c>
    </row>
    <row r="86" hidden="1" outlineLevel="1">
      <c r="A86" s="264" t="inlineStr">
        <is>
          <t>Load-Empfindlichkeit</t>
        </is>
      </c>
      <c r="G86" s="265">
        <f>Parameter!$B$70</f>
        <v/>
      </c>
      <c r="H86" s="265">
        <f>Parameter!$B$66</f>
        <v/>
      </c>
      <c r="I86" s="265">
        <f>Parameter!$B$67</f>
        <v/>
      </c>
      <c r="J86" s="265">
        <f>Parameter!$B$65</f>
        <v/>
      </c>
      <c r="K86" s="265">
        <f>Parameter!$B$71</f>
        <v/>
      </c>
      <c r="L86" s="265">
        <f>Parameter!$B$76</f>
        <v/>
      </c>
      <c r="M86" s="265">
        <f>Parameter!$B$74</f>
        <v/>
      </c>
      <c r="N86" s="265">
        <f>Parameter!$B$73</f>
        <v/>
      </c>
      <c r="O86" s="265">
        <f>Parameter!$B$77</f>
        <v/>
      </c>
      <c r="P86" s="265">
        <f>Parameter!$B$68</f>
        <v/>
      </c>
      <c r="Q86" s="265">
        <f>Parameter!$B$78</f>
        <v/>
      </c>
      <c r="R86" s="265">
        <f>Parameter!$B$79</f>
        <v/>
      </c>
      <c r="S86" s="265">
        <f>Parameter!$B$72</f>
        <v/>
      </c>
      <c r="T86" s="265">
        <f>Parameter!$B$69</f>
        <v/>
      </c>
      <c r="U86" s="265">
        <f>Parameter!$B$80</f>
        <v/>
      </c>
      <c r="V86" s="265">
        <f>Parameter!$B$75</f>
        <v/>
      </c>
    </row>
    <row r="87" hidden="1" outlineLevel="1">
      <c r="A87" s="264" t="inlineStr">
        <is>
          <t>Anwendungsdauer in Jahren</t>
        </is>
      </c>
      <c r="G87" s="266">
        <f>IF($C$8="&lt;5 Jahre",Parameter!$B$21,IF($C$8="10 Jahre",Parameter!$B$22,IF($C$8="15 Jahre",Parameter!$B$23,999)))</f>
        <v/>
      </c>
    </row>
    <row r="88" hidden="1" outlineLevel="1">
      <c r="A88" s="264" t="inlineStr">
        <is>
          <t>Load-Faktor effektiv</t>
        </is>
      </c>
      <c r="G88" s="267">
        <f>1+(IF($C$6="Natty oder TRT (400-1000 ng/dl)",Parameter!$B$8,IF($C$6="TRT plus (1000-1400 ng/dl)",Parameter!$B$9,IF($C$6="Blast moderat (250-350 mg/Woche)",Parameter!$B$10,IF($C$6="Blast fortgeschritten (500-750 mg/Woche)",Parameter!$B$11,IF($C$6="Blast Profi (1 g und mehr)",Parameter!$B$12,1.0)))))-1)*IF($C$7="Dauerblast (durchgehend)",Parameter!$B$16,IF($C$7="Blast and Cruise (Time On = Time Off)",Parameter!$B$17,1.0))</f>
        <v/>
      </c>
    </row>
    <row r="89" hidden="1" outlineLevel="1">
      <c r="A89" s="264" t="inlineStr">
        <is>
          <t>rechnerisches Endalter</t>
        </is>
      </c>
      <c r="G89" s="268">
        <f>Parameter!$D$126</f>
        <v/>
      </c>
    </row>
    <row r="90" hidden="1" outlineLevel="1">
      <c r="A90" s="264" t="inlineStr">
        <is>
          <t>Endalter nach Massnahmen</t>
        </is>
      </c>
      <c r="G90" s="268">
        <f>Parameter!$D$127</f>
        <v/>
      </c>
    </row>
    <row r="91" hidden="1" outlineLevel="1">
      <c r="A91" s="264" t="inlineStr">
        <is>
          <t>gemessen (1/0)</t>
        </is>
      </c>
      <c r="G91" s="269">
        <f>IF(OR($C$15="",$C$15="nicht gemessen"),0,1)</f>
        <v/>
      </c>
      <c r="H91" s="269">
        <f>IF(OR($C$17="",$C$17="nicht gemessen"),0,1)</f>
        <v/>
      </c>
      <c r="I91" s="269">
        <f>IF(OR($C$16="",$C$16="nicht gemessen"),0,1)</f>
        <v/>
      </c>
      <c r="J91" s="269">
        <f>IF(OR($C$14="",$C$14="nicht gemessen"),0,1)</f>
        <v/>
      </c>
      <c r="K91" s="269" t="n">
        <v>0</v>
      </c>
      <c r="L91" s="269" t="n">
        <v>0</v>
      </c>
      <c r="M91" s="269" t="n">
        <v>0</v>
      </c>
      <c r="N91" s="269" t="n">
        <v>0</v>
      </c>
      <c r="O91" s="269" t="n">
        <v>0</v>
      </c>
      <c r="P91" s="269">
        <f>IF(OR($C$18="",$C$18="nicht gemessen"),0,1)</f>
        <v/>
      </c>
      <c r="Q91" s="269" t="n">
        <v>0</v>
      </c>
      <c r="R91" s="269">
        <f>IF(OR($C$20="",$C$20="nicht gemessen"),0,1)</f>
        <v/>
      </c>
      <c r="S91" s="269" t="n">
        <v>0</v>
      </c>
      <c r="T91" s="269">
        <f>IF(OR($C$19="",$C$19="nicht gemessen"),0,1)</f>
        <v/>
      </c>
      <c r="U91" s="269" t="n">
        <v>0</v>
      </c>
      <c r="V91" s="269" t="n">
        <v>0</v>
      </c>
    </row>
    <row r="92" hidden="1" outlineLevel="1">
      <c r="A92" s="264" t="inlineStr">
        <is>
          <t>Index Messung</t>
        </is>
      </c>
      <c r="G92" s="269">
        <f>IF($C$15="unter 45",Parameter!$B$44,IF($C$15="45 bis 50",Parameter!$B$45,IF($C$15="50 bis 54",Parameter!$B$46,Parameter!$B$47)))</f>
        <v/>
      </c>
      <c r="H92" s="269">
        <f>IF($C$17="ueber 1,3 (50 mg/dl)",Parameter!$B$44,IF($C$17="1,0 bis 1,3 (39-50 mg/dl)",Parameter!$B$45,IF($C$17="0,6 bis 1,0 (23-39 mg/dl)",Parameter!$B$46,Parameter!$B$47)))</f>
        <v/>
      </c>
      <c r="I92" s="269">
        <f>IF($C$16="unter 1,4 (55 mg/dl)",Parameter!$B$44,IF($C$16="1,4 bis 2,6 (55-100 mg/dl)",Parameter!$B$45,IF($C$16="2,6 bis 3,4 (100-130 mg/dl)",Parameter!$B$46,Parameter!$B$47)))</f>
        <v/>
      </c>
      <c r="J92" s="269">
        <f>IF($C$14="unter 115",Parameter!$B$44,IF($C$14="115 bis 125",Parameter!$B$45,IF($C$14="125 bis 140",Parameter!$B$46,Parameter!$B$47)))</f>
        <v/>
      </c>
      <c r="K92" s="269" t="n">
        <v>0</v>
      </c>
      <c r="L92" s="269" t="n">
        <v>0</v>
      </c>
      <c r="M92" s="269" t="n">
        <v>0</v>
      </c>
      <c r="N92" s="269" t="n">
        <v>0</v>
      </c>
      <c r="O92" s="269" t="n">
        <v>0</v>
      </c>
      <c r="P92" s="269">
        <f>IF($C$18="unter 1,0 (89 mg/dl)",Parameter!$B$44,IF($C$18="1,0 bis 1,7 (89-150 mg/dl)",Parameter!$B$45,IF($C$18="1,7 bis 3,4 (150-300 mg/dl)",Parameter!$B$46,Parameter!$B$47)))</f>
        <v/>
      </c>
      <c r="Q92" s="269" t="n">
        <v>0</v>
      </c>
      <c r="R92" s="269">
        <f>IF($C$20="unter 0,80 (eGFR ueber 110)",Parameter!$B$44,IF($C$20="0,80 bis 1,00 (eGFR 85-110)",Parameter!$B$45,IF($C$20="1,00 bis 1,30 (eGFR 60-85)",Parameter!$B$46,Parameter!$B$47)))</f>
        <v/>
      </c>
      <c r="S92" s="269" t="n">
        <v>0</v>
      </c>
      <c r="T92" s="269">
        <f>IF($C$19="unter 80 (4,4 mmol/l)",Parameter!$B$44,IF($C$19="80 bis 95 (4,4-5,3 mmol/l)",Parameter!$B$45,IF($C$19="95 bis 110 (5,3-6,1 mmol/l)",Parameter!$B$46,Parameter!$B$47)))</f>
        <v/>
      </c>
      <c r="U92" s="269" t="n">
        <v>0</v>
      </c>
      <c r="V92" s="269" t="n">
        <v>0</v>
      </c>
    </row>
    <row r="93" hidden="1" outlineLevel="1">
      <c r="A93" s="264" t="inlineStr">
        <is>
          <t>Endlevel (1/0)</t>
        </is>
      </c>
      <c r="G93" s="269">
        <f>IF($C$15="ueber 54",1,0)</f>
        <v/>
      </c>
      <c r="H93" s="269">
        <f>IF($C$17="unter 0,6 (unter 23 mg/dl)",1,0)</f>
        <v/>
      </c>
      <c r="I93" s="269">
        <f>IF($C$16="ueber 3,4 (ueber 130 mg/dl)",1,0)</f>
        <v/>
      </c>
      <c r="J93" s="269">
        <f>IF($C$14="ab 140",1,0)</f>
        <v/>
      </c>
      <c r="K93" s="269" t="n">
        <v>0</v>
      </c>
      <c r="L93" s="269" t="n">
        <v>0</v>
      </c>
      <c r="M93" s="269" t="n">
        <v>0</v>
      </c>
      <c r="N93" s="269" t="n">
        <v>0</v>
      </c>
      <c r="O93" s="269" t="n">
        <v>0</v>
      </c>
      <c r="P93" s="269">
        <f>IF($C$18="ueber 3,4 (ueber 300 mg/dl)",1,0)</f>
        <v/>
      </c>
      <c r="Q93" s="269" t="n">
        <v>0</v>
      </c>
      <c r="R93" s="269">
        <f>IF($C$20="ueber 1,30 (eGFR unter 60)",1,0)</f>
        <v/>
      </c>
      <c r="S93" s="269" t="n">
        <v>0</v>
      </c>
      <c r="T93" s="269">
        <f>IF($C$19="ab 110 (ab 6,1 mmol/l)",1,0)</f>
        <v/>
      </c>
      <c r="U93" s="269" t="n">
        <v>0</v>
      </c>
      <c r="V93" s="269" t="n">
        <v>0</v>
      </c>
    </row>
    <row r="94" hidden="1" outlineLevel="1">
      <c r="A94" s="264" t="inlineStr">
        <is>
          <t>Stufe je Messwert</t>
        </is>
      </c>
      <c r="G94" s="269">
        <f>IF(OR($C$14="",$C$14="nicht gemessen"),1,IF($C$14="unter 115",Parameter!$B$51,IF($C$14="115 bis 125",Parameter!$B$52,IF($C$14="125 bis 140",Parameter!$B$53,Parameter!$B$54))))</f>
        <v/>
      </c>
      <c r="H94" s="269">
        <f>IF(OR($C$15="",$C$15="nicht gemessen"),1,IF($C$15="unter 45",Parameter!$B$51,IF($C$15="45 bis 50",Parameter!$B$52,IF($C$15="50 bis 54",Parameter!$B$53,Parameter!$B$54))))</f>
        <v/>
      </c>
      <c r="I94" s="269">
        <f>IF(OR($C$16="",$C$16="nicht gemessen"),1,IF($C$16="unter 1,4 (55 mg/dl)",Parameter!$B$51,IF($C$16="1,4 bis 2,6 (55-100 mg/dl)",Parameter!$B$52,IF($C$16="2,6 bis 3,4 (100-130 mg/dl)",Parameter!$B$53,Parameter!$B$54))))</f>
        <v/>
      </c>
      <c r="J94" s="269">
        <f>IF(OR($C$17="",$C$17="nicht gemessen"),1,IF($C$17="ueber 1,3 (50 mg/dl)",Parameter!$B$51,IF($C$17="1,0 bis 1,3 (39-50 mg/dl)",Parameter!$B$52,IF($C$17="0,6 bis 1,0 (23-39 mg/dl)",Parameter!$B$53,Parameter!$B$54))))</f>
        <v/>
      </c>
      <c r="K94" s="269">
        <f>IF(OR($C$18="",$C$18="nicht gemessen"),1,IF($C$18="unter 1,0 (89 mg/dl)",Parameter!$B$51,IF($C$18="1,0 bis 1,7 (89-150 mg/dl)",Parameter!$B$52,IF($C$18="1,7 bis 3,4 (150-300 mg/dl)",Parameter!$B$53,Parameter!$B$54))))</f>
        <v/>
      </c>
      <c r="L94" s="269">
        <f>IF(OR($C$19="",$C$19="nicht gemessen"),1,IF($C$19="unter 80 (4,4 mmol/l)",Parameter!$B$51,IF($C$19="80 bis 95 (4,4-5,3 mmol/l)",Parameter!$B$52,IF($C$19="95 bis 110 (5,3-6,1 mmol/l)",Parameter!$B$53,Parameter!$B$54))))</f>
        <v/>
      </c>
      <c r="M94" s="269">
        <f>IF(OR($C$20="",$C$20="nicht gemessen"),1,IF($C$20="unter 0,80 (eGFR ueber 110)",Parameter!$B$51,IF($C$20="0,80 bis 1,00 (eGFR 85-110)",Parameter!$B$52,IF($C$20="1,00 bis 1,30 (eGFR 60-85)",Parameter!$B$53,Parameter!$B$54))))</f>
        <v/>
      </c>
    </row>
    <row r="95" hidden="1" outlineLevel="1">
      <c r="A95" s="264" t="inlineStr">
        <is>
          <t>Index real</t>
        </is>
      </c>
      <c r="G95" s="265">
        <f>MIN(1,IF(G93=1,1,IF(G91=1,1-(1-(Parameter!$B$57*G92+(1-Parameter!$B$57)*G85))^(1+(G$88-1)*G86*Parameter!$B$58),1-(1-G85)^(1+(G$88-1)*G86))))</f>
        <v/>
      </c>
      <c r="H95" s="265">
        <f>MIN(1,IF(H93=1,1,IF(H91=1,1-(1-(Parameter!$B$57*H92+(1-Parameter!$B$57)*H85))^(1+(G$88-1)*H86*Parameter!$B$58),1-(1-H85)^(1+(G$88-1)*H86))))</f>
        <v/>
      </c>
      <c r="I95" s="265">
        <f>MIN(1,IF(I93=1,1,IF(I91=1,1-(1-(Parameter!$B$57*I92+(1-Parameter!$B$57)*I85))^(1+(G$88-1)*I86*Parameter!$B$58),1-(1-I85)^(1+(G$88-1)*I86))))</f>
        <v/>
      </c>
      <c r="J95" s="265">
        <f>MIN(1,IF(J93=1,1,IF(J91=1,1-(1-(Parameter!$B$57*J92+(1-Parameter!$B$57)*J85))^(1+(G$88-1)*J86*Parameter!$B$58),1-(1-J85)^(1+(G$88-1)*J86))))</f>
        <v/>
      </c>
      <c r="K95" s="265">
        <f>MIN(1,IF(K93=1,1,IF(K91=1,1-(1-(Parameter!$B$57*K92+(1-Parameter!$B$57)*K85))^(1+(G$88-1)*K86*Parameter!$B$58),1-(1-K85)^(1+(G$88-1)*K86))))</f>
        <v/>
      </c>
      <c r="L95" s="265">
        <f>MIN(1,IF(L93=1,1,IF(L91=1,1-(1-(Parameter!$B$57*L92+(1-Parameter!$B$57)*L85))^(1+(G$88-1)*L86*Parameter!$B$58),1-(1-L85)^(1+(G$88-1)*L86))))</f>
        <v/>
      </c>
      <c r="M95" s="265">
        <f>MIN(1,IF(M93=1,1,IF(M91=1,1-(1-(Parameter!$B$57*M92+(1-Parameter!$B$57)*M85))^(1+(G$88-1)*M86*Parameter!$B$58),1-(1-M85)^(1+(G$88-1)*M86))))</f>
        <v/>
      </c>
      <c r="N95" s="265">
        <f>MIN(1,IF(N93=1,1,IF(N91=1,1-(1-(Parameter!$B$57*N92+(1-Parameter!$B$57)*N85))^(1+(G$88-1)*N86*Parameter!$B$58),1-(1-N85)^(1+(G$88-1)*N86))))</f>
        <v/>
      </c>
      <c r="O95" s="265">
        <f>MIN(1,IF(O93=1,1,IF(O91=1,1-(1-(Parameter!$B$57*O92+(1-Parameter!$B$57)*O85))^(1+(G$88-1)*O86*Parameter!$B$58),1-(1-O85)^(1+(G$88-1)*O86))))</f>
        <v/>
      </c>
      <c r="P95" s="265">
        <f>MIN(1,IF(P93=1,1,IF(P91=1,1-(1-(Parameter!$B$57*P92+(1-Parameter!$B$57)*P85))^(1+(G$88-1)*P86*Parameter!$B$58),1-(1-P85)^(1+(G$88-1)*P86))))</f>
        <v/>
      </c>
      <c r="Q95" s="265">
        <f>MIN(1,IF(Q93=1,1,IF(Q91=1,1-(1-(Parameter!$B$57*Q92+(1-Parameter!$B$57)*Q85))^(1+(G$88-1)*Q86*Parameter!$B$58),1-(1-Q85)^(1+(G$88-1)*Q86))))</f>
        <v/>
      </c>
      <c r="R95" s="265">
        <f>MIN(1,IF(R93=1,1,IF(R91=1,1-(1-(Parameter!$B$57*R92+(1-Parameter!$B$57)*R85))^(1+(G$88-1)*R86*Parameter!$B$58),1-(1-R85)^(1+(G$88-1)*R86))))</f>
        <v/>
      </c>
      <c r="S95" s="265">
        <f>MIN(1,IF(S93=1,1,IF(S91=1,1-(1-(Parameter!$B$57*S92+(1-Parameter!$B$57)*S85))^(1+(G$88-1)*S86*Parameter!$B$58),1-(1-S85)^(1+(G$88-1)*S86))))</f>
        <v/>
      </c>
      <c r="T95" s="265">
        <f>MIN(1,IF(T93=1,1,IF(T91=1,1-(1-(Parameter!$B$57*T92+(1-Parameter!$B$57)*T85))^(1+(G$88-1)*T86*Parameter!$B$58),1-(1-T85)^(1+(G$88-1)*T86))))</f>
        <v/>
      </c>
      <c r="U95" s="265">
        <f>MIN(1,IF(U93=1,1,IF(U91=1,1-(1-(Parameter!$B$57*U92+(1-Parameter!$B$57)*U85))^(1+(G$88-1)*U86*Parameter!$B$58),1-(1-U85)^(1+(G$88-1)*U86))))</f>
        <v/>
      </c>
      <c r="V95" s="265">
        <f>MIN(1,IF(V93=1,1,IF(V91=1,1-(1-(Parameter!$B$57*V92+(1-Parameter!$B$57)*V85))^(1+(G$88-1)*V86*Parameter!$B$58),1-(1-V85)^(1+(G$88-1)*V86))))</f>
        <v/>
      </c>
    </row>
    <row r="96" hidden="1" outlineLevel="1">
      <c r="A96" s="270" t="inlineStr"/>
      <c r="G96" s="265">
        <f>G84*G95</f>
        <v/>
      </c>
      <c r="H96" s="265">
        <f>H84*H95</f>
        <v/>
      </c>
      <c r="I96" s="265">
        <f>I84*I95</f>
        <v/>
      </c>
      <c r="J96" s="265">
        <f>J84*J95</f>
        <v/>
      </c>
      <c r="K96" s="265">
        <f>K84*K95</f>
        <v/>
      </c>
      <c r="L96" s="265">
        <f>L84*L95</f>
        <v/>
      </c>
      <c r="M96" s="265">
        <f>M84*M95</f>
        <v/>
      </c>
      <c r="N96" s="265">
        <f>N84*N95</f>
        <v/>
      </c>
      <c r="O96" s="265">
        <f>O84*O95</f>
        <v/>
      </c>
      <c r="P96" s="265">
        <f>P84*P95</f>
        <v/>
      </c>
      <c r="Q96" s="265">
        <f>Q84*Q95</f>
        <v/>
      </c>
      <c r="R96" s="265">
        <f>R84*R95</f>
        <v/>
      </c>
      <c r="S96" s="265">
        <f>S84*S95</f>
        <v/>
      </c>
      <c r="T96" s="265">
        <f>T84*T95</f>
        <v/>
      </c>
      <c r="U96" s="265">
        <f>U84*U95</f>
        <v/>
      </c>
      <c r="V96" s="265">
        <f>V84*V95</f>
        <v/>
      </c>
    </row>
    <row r="97" hidden="1" outlineLevel="1">
      <c r="A97" s="271" t="inlineStr">
        <is>
          <t>A) laeuft bereits</t>
        </is>
      </c>
    </row>
    <row r="98" hidden="1" outlineLevel="1">
      <c r="A98" s="222" t="inlineStr">
        <is>
          <t>· PCSK9-Hemmer oder Inclisiran</t>
        </is>
      </c>
      <c r="G98" s="272">
        <f>IF(AND($B40="x",G91=0),G40,0)</f>
        <v/>
      </c>
      <c r="H98" s="272">
        <f>IF(AND($B40="x",H91=0),H40,0)</f>
        <v/>
      </c>
      <c r="I98" s="272">
        <f>IF(AND($B40="x",I91=0),I40,0)</f>
        <v/>
      </c>
      <c r="J98" s="272">
        <f>IF(AND($B40="x",J91=0),J40,0)</f>
        <v/>
      </c>
      <c r="K98" s="272">
        <f>IF(AND($B40="x",K91=0),K40,0)</f>
        <v/>
      </c>
      <c r="L98" s="272">
        <f>IF(AND($B40="x",L91=0),L40,0)</f>
        <v/>
      </c>
      <c r="M98" s="272">
        <f>IF(AND($B40="x",M91=0),M40,0)</f>
        <v/>
      </c>
      <c r="N98" s="272">
        <f>IF(AND($B40="x",N91=0),N40,0)</f>
        <v/>
      </c>
      <c r="O98" s="272">
        <f>IF(AND($B40="x",O91=0),O40,0)</f>
        <v/>
      </c>
      <c r="P98" s="272">
        <f>IF(AND($B40="x",P91=0),P40,0)</f>
        <v/>
      </c>
      <c r="Q98" s="272">
        <f>IF(AND($B40="x",Q91=0),Q40,0)</f>
        <v/>
      </c>
      <c r="R98" s="272">
        <f>IF(AND($B40="x",R91=0),R40,0)</f>
        <v/>
      </c>
      <c r="S98" s="272">
        <f>IF(AND($B40="x",S91=0),S40,0)</f>
        <v/>
      </c>
      <c r="T98" s="272">
        <f>IF(AND($B40="x",T91=0),T40,0)</f>
        <v/>
      </c>
      <c r="U98" s="272">
        <f>IF(AND($B40="x",U91=0),U40,0)</f>
        <v/>
      </c>
      <c r="V98" s="272">
        <f>IF(AND($B40="x",V91=0),V40,0)</f>
        <v/>
      </c>
    </row>
    <row r="99" hidden="1" outlineLevel="1">
      <c r="A99" s="222" t="inlineStr">
        <is>
          <t>· Statin</t>
        </is>
      </c>
      <c r="G99" s="272">
        <f>IF(AND($B41="x",G91=0),G41,0)</f>
        <v/>
      </c>
      <c r="H99" s="272">
        <f>IF(AND($B41="x",H91=0),H41,0)</f>
        <v/>
      </c>
      <c r="I99" s="272">
        <f>IF(AND($B41="x",I91=0),I41,0)</f>
        <v/>
      </c>
      <c r="J99" s="272">
        <f>IF(AND($B41="x",J91=0),J41,0)</f>
        <v/>
      </c>
      <c r="K99" s="272">
        <f>IF(AND($B41="x",K91=0),K41,0)</f>
        <v/>
      </c>
      <c r="L99" s="272">
        <f>IF(AND($B41="x",L91=0),L41,0)</f>
        <v/>
      </c>
      <c r="M99" s="272">
        <f>IF(AND($B41="x",M91=0),M41,0)</f>
        <v/>
      </c>
      <c r="N99" s="272">
        <f>IF(AND($B41="x",N91=0),N41,0)</f>
        <v/>
      </c>
      <c r="O99" s="272">
        <f>IF(AND($B41="x",O91=0),O41,0)</f>
        <v/>
      </c>
      <c r="P99" s="272">
        <f>IF(AND($B41="x",P91=0),P41,0)</f>
        <v/>
      </c>
      <c r="Q99" s="272">
        <f>IF(AND($B41="x",Q91=0),Q41,0)</f>
        <v/>
      </c>
      <c r="R99" s="272">
        <f>IF(AND($B41="x",R91=0),R41,0)</f>
        <v/>
      </c>
      <c r="S99" s="272">
        <f>IF(AND($B41="x",S91=0),S41,0)</f>
        <v/>
      </c>
      <c r="T99" s="272">
        <f>IF(OR($B41="x",$C41="x"),T41,0)</f>
        <v/>
      </c>
      <c r="U99" s="272">
        <f>IF(AND($B41="x",U91=0),U41,0)</f>
        <v/>
      </c>
      <c r="V99" s="272">
        <f>IF(AND($B41="x",V91=0),V41,0)</f>
        <v/>
      </c>
    </row>
    <row r="100" hidden="1" outlineLevel="1">
      <c r="A100" s="222" t="inlineStr">
        <is>
          <t>· Ezetimib</t>
        </is>
      </c>
      <c r="G100" s="272">
        <f>IF(AND($B42="x",G91=0),G42,0)</f>
        <v/>
      </c>
      <c r="H100" s="272">
        <f>IF(AND($B42="x",H91=0),H42,0)</f>
        <v/>
      </c>
      <c r="I100" s="272">
        <f>IF(AND($B42="x",I91=0),I42,0)</f>
        <v/>
      </c>
      <c r="J100" s="272">
        <f>IF(AND($B42="x",J91=0),J42,0)</f>
        <v/>
      </c>
      <c r="K100" s="272">
        <f>IF(AND($B42="x",K91=0),K42,0)</f>
        <v/>
      </c>
      <c r="L100" s="272">
        <f>IF(AND($B42="x",L91=0),L42,0)</f>
        <v/>
      </c>
      <c r="M100" s="272">
        <f>IF(AND($B42="x",M91=0),M42,0)</f>
        <v/>
      </c>
      <c r="N100" s="272">
        <f>IF(AND($B42="x",N91=0),N42,0)</f>
        <v/>
      </c>
      <c r="O100" s="272">
        <f>IF(AND($B42="x",O91=0),O42,0)</f>
        <v/>
      </c>
      <c r="P100" s="272">
        <f>IF(AND($B42="x",P91=0),P42,0)</f>
        <v/>
      </c>
      <c r="Q100" s="272">
        <f>IF(AND($B42="x",Q91=0),Q42,0)</f>
        <v/>
      </c>
      <c r="R100" s="272">
        <f>IF(AND($B42="x",R91=0),R42,0)</f>
        <v/>
      </c>
      <c r="S100" s="272">
        <f>IF(AND($B42="x",S91=0),S42,0)</f>
        <v/>
      </c>
      <c r="T100" s="272">
        <f>IF(AND($B42="x",T91=0),T42,0)</f>
        <v/>
      </c>
      <c r="U100" s="272">
        <f>IF(AND($B42="x",U91=0),U42,0)</f>
        <v/>
      </c>
      <c r="V100" s="272">
        <f>IF(AND($B42="x",V91=0),V42,0)</f>
        <v/>
      </c>
    </row>
    <row r="101" hidden="1" outlineLevel="1">
      <c r="A101" s="222" t="inlineStr">
        <is>
          <t>· Bempedoinsaeure</t>
        </is>
      </c>
      <c r="G101" s="272">
        <f>IF(AND($B43="x",G91=0),G43,0)</f>
        <v/>
      </c>
      <c r="H101" s="272">
        <f>IF(AND($B43="x",H91=0),H43,0)</f>
        <v/>
      </c>
      <c r="I101" s="272">
        <f>IF(AND($B43="x",I91=0),I43,0)</f>
        <v/>
      </c>
      <c r="J101" s="272">
        <f>IF(AND($B43="x",J91=0),J43,0)</f>
        <v/>
      </c>
      <c r="K101" s="272">
        <f>IF(AND($B43="x",K91=0),K43,0)</f>
        <v/>
      </c>
      <c r="L101" s="272">
        <f>IF(AND($B43="x",L91=0),L43,0)</f>
        <v/>
      </c>
      <c r="M101" s="272">
        <f>IF(AND($B43="x",M91=0),M43,0)</f>
        <v/>
      </c>
      <c r="N101" s="272">
        <f>IF(AND($B43="x",N91=0),N43,0)</f>
        <v/>
      </c>
      <c r="O101" s="272">
        <f>IF(AND($B43="x",O91=0),O43,0)</f>
        <v/>
      </c>
      <c r="P101" s="272">
        <f>IF(AND($B43="x",P91=0),P43,0)</f>
        <v/>
      </c>
      <c r="Q101" s="272">
        <f>IF(AND($B43="x",Q91=0),Q43,0)</f>
        <v/>
      </c>
      <c r="R101" s="272">
        <f>IF(AND($B43="x",R91=0),R43,0)</f>
        <v/>
      </c>
      <c r="S101" s="272">
        <f>IF(AND($B43="x",S91=0),S43,0)</f>
        <v/>
      </c>
      <c r="T101" s="272">
        <f>IF(AND($B43="x",T91=0),T43,0)</f>
        <v/>
      </c>
      <c r="U101" s="272">
        <f>IF(AND($B43="x",U91=0),U43,0)</f>
        <v/>
      </c>
      <c r="V101" s="272">
        <f>IF(AND($B43="x",V91=0),V43,0)</f>
        <v/>
      </c>
    </row>
    <row r="102" hidden="1" outlineLevel="1">
      <c r="A102" s="222" t="inlineStr">
        <is>
          <t>· Sartan (ARB)</t>
        </is>
      </c>
      <c r="G102" s="272">
        <f>IF(AND($B44="x",G91=0),G44,0)</f>
        <v/>
      </c>
      <c r="H102" s="272">
        <f>IF(AND($B44="x",H91=0),H44,0)</f>
        <v/>
      </c>
      <c r="I102" s="272">
        <f>IF(AND($B44="x",I91=0),I44,0)</f>
        <v/>
      </c>
      <c r="J102" s="272">
        <f>IF(AND($B44="x",J91=0),J44,0)</f>
        <v/>
      </c>
      <c r="K102" s="272">
        <f>IF(AND($B44="x",K91=0),K44,0)</f>
        <v/>
      </c>
      <c r="L102" s="272">
        <f>IF(AND($B44="x",L91=0),L44,0)</f>
        <v/>
      </c>
      <c r="M102" s="272">
        <f>IF(AND($B44="x",M91=0),M44,0)</f>
        <v/>
      </c>
      <c r="N102" s="272">
        <f>IF(AND($B44="x",N91=0),N44,0)</f>
        <v/>
      </c>
      <c r="O102" s="272">
        <f>IF(AND($B44="x",O91=0),O44,0)</f>
        <v/>
      </c>
      <c r="P102" s="272">
        <f>IF(AND($B44="x",P91=0),P44,0)</f>
        <v/>
      </c>
      <c r="Q102" s="272">
        <f>IF(AND($B44="x",Q91=0),Q44,0)</f>
        <v/>
      </c>
      <c r="R102" s="272">
        <f>IF(AND($B44="x",R91=0),R44,0)</f>
        <v/>
      </c>
      <c r="S102" s="272">
        <f>IF(AND($B44="x",S91=0),S44,0)</f>
        <v/>
      </c>
      <c r="T102" s="272">
        <f>IF(AND($B44="x",T91=0),T44,0)</f>
        <v/>
      </c>
      <c r="U102" s="272">
        <f>IF(AND($B44="x",U91=0),U44,0)</f>
        <v/>
      </c>
      <c r="V102" s="272">
        <f>IF(AND($B44="x",V91=0),V44,0)</f>
        <v/>
      </c>
    </row>
    <row r="103" hidden="1" outlineLevel="1">
      <c r="A103" s="222" t="inlineStr">
        <is>
          <t>· ACE-Hemmer</t>
        </is>
      </c>
      <c r="G103" s="272">
        <f>IF(AND($B45="x",G91=0),G45,0)</f>
        <v/>
      </c>
      <c r="H103" s="272">
        <f>IF(AND($B45="x",H91=0),H45,0)</f>
        <v/>
      </c>
      <c r="I103" s="272">
        <f>IF(AND($B45="x",I91=0),I45,0)</f>
        <v/>
      </c>
      <c r="J103" s="272">
        <f>IF(AND($B45="x",J91=0),J45,0)</f>
        <v/>
      </c>
      <c r="K103" s="272">
        <f>IF(AND($B45="x",K91=0),K45,0)</f>
        <v/>
      </c>
      <c r="L103" s="272">
        <f>IF(AND($B45="x",L91=0),L45,0)</f>
        <v/>
      </c>
      <c r="M103" s="272">
        <f>IF(AND($B45="x",M91=0),M45,0)</f>
        <v/>
      </c>
      <c r="N103" s="272">
        <f>IF(AND($B45="x",N91=0),N45,0)</f>
        <v/>
      </c>
      <c r="O103" s="272">
        <f>IF(AND($B45="x",O91=0),O45,0)</f>
        <v/>
      </c>
      <c r="P103" s="272">
        <f>IF(AND($B45="x",P91=0),P45,0)</f>
        <v/>
      </c>
      <c r="Q103" s="272">
        <f>IF(AND($B45="x",Q91=0),Q45,0)</f>
        <v/>
      </c>
      <c r="R103" s="272">
        <f>IF(AND($B45="x",R91=0),R45,0)</f>
        <v/>
      </c>
      <c r="S103" s="272">
        <f>IF(AND($B45="x",S91=0),S45,0)</f>
        <v/>
      </c>
      <c r="T103" s="272">
        <f>IF(AND($B45="x",T91=0),T45,0)</f>
        <v/>
      </c>
      <c r="U103" s="272">
        <f>IF(AND($B45="x",U91=0),U45,0)</f>
        <v/>
      </c>
      <c r="V103" s="272">
        <f>IF(AND($B45="x",V91=0),V45,0)</f>
        <v/>
      </c>
    </row>
    <row r="104" hidden="1" outlineLevel="1">
      <c r="A104" s="222" t="inlineStr">
        <is>
          <t>· Amlodipin (Calciumantagonist)</t>
        </is>
      </c>
      <c r="G104" s="272">
        <f>IF(AND($B46="x",G91=0),G46,0)</f>
        <v/>
      </c>
      <c r="H104" s="272">
        <f>IF(AND($B46="x",H91=0),H46,0)</f>
        <v/>
      </c>
      <c r="I104" s="272">
        <f>IF(AND($B46="x",I91=0),I46,0)</f>
        <v/>
      </c>
      <c r="J104" s="272">
        <f>IF(AND($B46="x",J91=0),J46,0)</f>
        <v/>
      </c>
      <c r="K104" s="272">
        <f>IF(AND($B46="x",K91=0),K46,0)</f>
        <v/>
      </c>
      <c r="L104" s="272">
        <f>IF(AND($B46="x",L91=0),L46,0)</f>
        <v/>
      </c>
      <c r="M104" s="272">
        <f>IF(AND($B46="x",M91=0),M46,0)</f>
        <v/>
      </c>
      <c r="N104" s="272">
        <f>IF(AND($B46="x",N91=0),N46,0)</f>
        <v/>
      </c>
      <c r="O104" s="272">
        <f>IF(AND($B46="x",O91=0),O46,0)</f>
        <v/>
      </c>
      <c r="P104" s="272">
        <f>IF(AND($B46="x",P91=0),P46,0)</f>
        <v/>
      </c>
      <c r="Q104" s="272">
        <f>IF(AND($B46="x",Q91=0),Q46,0)</f>
        <v/>
      </c>
      <c r="R104" s="272">
        <f>IF(AND($B46="x",R91=0),R46,0)</f>
        <v/>
      </c>
      <c r="S104" s="272">
        <f>IF(AND($B46="x",S91=0),S46,0)</f>
        <v/>
      </c>
      <c r="T104" s="272">
        <f>IF(AND($B46="x",T91=0),T46,0)</f>
        <v/>
      </c>
      <c r="U104" s="272">
        <f>IF(AND($B46="x",U91=0),U46,0)</f>
        <v/>
      </c>
      <c r="V104" s="272">
        <f>IF(AND($B46="x",V91=0),V46,0)</f>
        <v/>
      </c>
    </row>
    <row r="105" hidden="1" outlineLevel="1">
      <c r="A105" s="222" t="inlineStr">
        <is>
          <t>· Nebivolol (Betablocker)</t>
        </is>
      </c>
      <c r="G105" s="272">
        <f>IF(AND($B47="x",G91=0),G47,0)</f>
        <v/>
      </c>
      <c r="H105" s="272">
        <f>IF(AND($B47="x",H91=0),H47,0)</f>
        <v/>
      </c>
      <c r="I105" s="272">
        <f>IF(AND($B47="x",I91=0),I47,0)</f>
        <v/>
      </c>
      <c r="J105" s="272">
        <f>IF(AND($B47="x",J91=0),J47,0)</f>
        <v/>
      </c>
      <c r="K105" s="272">
        <f>IF(AND($B47="x",K91=0),K47,0)</f>
        <v/>
      </c>
      <c r="L105" s="272">
        <f>IF(AND($B47="x",L91=0),L47,0)</f>
        <v/>
      </c>
      <c r="M105" s="272">
        <f>IF(AND($B47="x",M91=0),M47,0)</f>
        <v/>
      </c>
      <c r="N105" s="272">
        <f>IF(AND($B47="x",N91=0),N47,0)</f>
        <v/>
      </c>
      <c r="O105" s="272">
        <f>IF(AND($B47="x",O91=0),O47,0)</f>
        <v/>
      </c>
      <c r="P105" s="272">
        <f>IF(AND($B47="x",P91=0),P47,0)</f>
        <v/>
      </c>
      <c r="Q105" s="272">
        <f>IF(AND($B47="x",Q91=0),Q47,0)</f>
        <v/>
      </c>
      <c r="R105" s="272">
        <f>IF(AND($B47="x",R91=0),R47,0)</f>
        <v/>
      </c>
      <c r="S105" s="272">
        <f>IF(AND($B47="x",S91=0),S47,0)</f>
        <v/>
      </c>
      <c r="T105" s="272">
        <f>IF(AND($B47="x",T91=0),T47,0)</f>
        <v/>
      </c>
      <c r="U105" s="272">
        <f>IF(AND($B47="x",U91=0),U47,0)</f>
        <v/>
      </c>
      <c r="V105" s="272">
        <f>IF(AND($B47="x",V91=0),V47,0)</f>
        <v/>
      </c>
    </row>
    <row r="106" hidden="1" outlineLevel="1">
      <c r="A106" s="222" t="inlineStr">
        <is>
          <t>· Tadalafil niedrig dosiert</t>
        </is>
      </c>
      <c r="G106" s="272">
        <f>IF(AND($B48="x",G91=0),G48,0)</f>
        <v/>
      </c>
      <c r="H106" s="272">
        <f>IF(AND($B48="x",H91=0),H48,0)</f>
        <v/>
      </c>
      <c r="I106" s="272">
        <f>IF(AND($B48="x",I91=0),I48,0)</f>
        <v/>
      </c>
      <c r="J106" s="272">
        <f>IF(AND($B48="x",J91=0),J48,0)</f>
        <v/>
      </c>
      <c r="K106" s="272">
        <f>IF(AND($B48="x",K91=0),K48,0)</f>
        <v/>
      </c>
      <c r="L106" s="272">
        <f>IF(AND($B48="x",L91=0),L48,0)</f>
        <v/>
      </c>
      <c r="M106" s="272">
        <f>IF(AND($B48="x",M91=0),M48,0)</f>
        <v/>
      </c>
      <c r="N106" s="272">
        <f>IF(AND($B48="x",N91=0),N48,0)</f>
        <v/>
      </c>
      <c r="O106" s="272">
        <f>IF(AND($B48="x",O91=0),O48,0)</f>
        <v/>
      </c>
      <c r="P106" s="272">
        <f>IF(AND($B48="x",P91=0),P48,0)</f>
        <v/>
      </c>
      <c r="Q106" s="272">
        <f>IF(AND($B48="x",Q91=0),Q48,0)</f>
        <v/>
      </c>
      <c r="R106" s="272">
        <f>IF(AND($B48="x",R91=0),R48,0)</f>
        <v/>
      </c>
      <c r="S106" s="272">
        <f>IF(AND($B48="x",S91=0),S48,0)</f>
        <v/>
      </c>
      <c r="T106" s="272">
        <f>IF(AND($B48="x",T91=0),T48,0)</f>
        <v/>
      </c>
      <c r="U106" s="272">
        <f>IF(AND($B48="x",U91=0),U48,0)</f>
        <v/>
      </c>
      <c r="V106" s="272">
        <f>IF(AND($B48="x",V91=0),V48,0)</f>
        <v/>
      </c>
    </row>
    <row r="107" hidden="1" outlineLevel="1">
      <c r="A107" s="222" t="inlineStr">
        <is>
          <t>· Blutspende oder Aderlass</t>
        </is>
      </c>
      <c r="G107" s="272">
        <f>IF(AND($B49="x",G91=0),G49,0)</f>
        <v/>
      </c>
      <c r="H107" s="272">
        <f>IF(AND($B49="x",H91=0),H49,0)</f>
        <v/>
      </c>
      <c r="I107" s="272">
        <f>IF(AND($B49="x",I91=0),I49,0)</f>
        <v/>
      </c>
      <c r="J107" s="272">
        <f>IF(AND($B49="x",J91=0),J49,0)</f>
        <v/>
      </c>
      <c r="K107" s="272">
        <f>IF(AND($B49="x",K91=0),K49,0)</f>
        <v/>
      </c>
      <c r="L107" s="272">
        <f>IF(AND($B49="x",L91=0),L49,0)</f>
        <v/>
      </c>
      <c r="M107" s="272">
        <f>IF(AND($B49="x",M91=0),M49,0)</f>
        <v/>
      </c>
      <c r="N107" s="272">
        <f>IF(AND($B49="x",N91=0),N49,0)</f>
        <v/>
      </c>
      <c r="O107" s="272">
        <f>IF(AND($B49="x",O91=0),O49,0)</f>
        <v/>
      </c>
      <c r="P107" s="272">
        <f>IF(AND($B49="x",P91=0),P49,0)</f>
        <v/>
      </c>
      <c r="Q107" s="272">
        <f>IF(AND($B49="x",Q91=0),Q49,0)</f>
        <v/>
      </c>
      <c r="R107" s="272">
        <f>IF(AND($B49="x",R91=0),R49,0)</f>
        <v/>
      </c>
      <c r="S107" s="272">
        <f>IF(AND($B49="x",S91=0),S49,0)</f>
        <v/>
      </c>
      <c r="T107" s="272">
        <f>IF(AND($B49="x",T91=0),T49,0)</f>
        <v/>
      </c>
      <c r="U107" s="272">
        <f>IF(AND($B49="x",U91=0),U49,0)</f>
        <v/>
      </c>
      <c r="V107" s="272">
        <f>IF(AND($B49="x",V91=0),V49,0)</f>
        <v/>
      </c>
    </row>
    <row r="108" hidden="1" outlineLevel="1">
      <c r="A108" s="222" t="inlineStr">
        <is>
          <t>· SGLT2-Hemmer</t>
        </is>
      </c>
      <c r="G108" s="272">
        <f>IF(OR($B50="x",$C50="x"),G50,0)</f>
        <v/>
      </c>
      <c r="H108" s="272">
        <f>IF(AND($B50="x",H91=0),H50,0)</f>
        <v/>
      </c>
      <c r="I108" s="272">
        <f>IF(AND($B50="x",I91=0),I50,0)</f>
        <v/>
      </c>
      <c r="J108" s="272">
        <f>IF(AND($B50="x",J91=0),J50,0)</f>
        <v/>
      </c>
      <c r="K108" s="272">
        <f>IF(AND($B50="x",K91=0),K50,0)</f>
        <v/>
      </c>
      <c r="L108" s="272">
        <f>IF(AND($B50="x",L91=0),L50,0)</f>
        <v/>
      </c>
      <c r="M108" s="272">
        <f>IF(AND($B50="x",M91=0),M50,0)</f>
        <v/>
      </c>
      <c r="N108" s="272">
        <f>IF(AND($B50="x",N91=0),N50,0)</f>
        <v/>
      </c>
      <c r="O108" s="272">
        <f>IF(AND($B50="x",O91=0),O50,0)</f>
        <v/>
      </c>
      <c r="P108" s="272">
        <f>IF(AND($B50="x",P91=0),P50,0)</f>
        <v/>
      </c>
      <c r="Q108" s="272">
        <f>IF(AND($B50="x",Q91=0),Q50,0)</f>
        <v/>
      </c>
      <c r="R108" s="272">
        <f>IF(AND($B50="x",R91=0),R50,0)</f>
        <v/>
      </c>
      <c r="S108" s="272">
        <f>IF(AND($B50="x",S91=0),S50,0)</f>
        <v/>
      </c>
      <c r="T108" s="272">
        <f>IF(AND($B50="x",T91=0),T50,0)</f>
        <v/>
      </c>
      <c r="U108" s="272">
        <f>IF(AND($B50="x",U91=0),U50,0)</f>
        <v/>
      </c>
      <c r="V108" s="272">
        <f>IF(AND($B50="x",V91=0),V50,0)</f>
        <v/>
      </c>
    </row>
    <row r="109" hidden="1" outlineLevel="1">
      <c r="A109" s="222" t="inlineStr">
        <is>
          <t>· GLP-1- oder GLP-1/GIP-Agonist</t>
        </is>
      </c>
      <c r="G109" s="272">
        <f>IF(AND($B51="x",G91=0),G51,0)</f>
        <v/>
      </c>
      <c r="H109" s="272">
        <f>IF(AND($B51="x",H91=0),H51,0)</f>
        <v/>
      </c>
      <c r="I109" s="272">
        <f>IF(AND($B51="x",I91=0),I51,0)</f>
        <v/>
      </c>
      <c r="J109" s="272">
        <f>IF(AND($B51="x",J91=0),J51,0)</f>
        <v/>
      </c>
      <c r="K109" s="272">
        <f>IF(AND($B51="x",K91=0),K51,0)</f>
        <v/>
      </c>
      <c r="L109" s="272">
        <f>IF(AND($B51="x",L91=0),L51,0)</f>
        <v/>
      </c>
      <c r="M109" s="272">
        <f>IF(AND($B51="x",M91=0),M51,0)</f>
        <v/>
      </c>
      <c r="N109" s="272">
        <f>IF(AND($B51="x",N91=0),N51,0)</f>
        <v/>
      </c>
      <c r="O109" s="272">
        <f>IF(AND($B51="x",O91=0),O51,0)</f>
        <v/>
      </c>
      <c r="P109" s="272">
        <f>IF(AND($B51="x",P91=0),P51,0)</f>
        <v/>
      </c>
      <c r="Q109" s="272">
        <f>IF(AND($B51="x",Q91=0),Q51,0)</f>
        <v/>
      </c>
      <c r="R109" s="272">
        <f>IF(AND($B51="x",R91=0),R51,0)</f>
        <v/>
      </c>
      <c r="S109" s="272">
        <f>IF(AND($B51="x",S91=0),S51,0)</f>
        <v/>
      </c>
      <c r="T109" s="272">
        <f>IF(AND($B51="x",T91=0),T51,0)</f>
        <v/>
      </c>
      <c r="U109" s="272">
        <f>IF(AND($B51="x",U91=0),U51,0)</f>
        <v/>
      </c>
      <c r="V109" s="272">
        <f>IF(AND($B51="x",V91=0),V51,0)</f>
        <v/>
      </c>
    </row>
    <row r="110" hidden="1" outlineLevel="1">
      <c r="A110" s="222" t="inlineStr">
        <is>
          <t>· Berberin oder Metformin</t>
        </is>
      </c>
      <c r="G110" s="272">
        <f>IF(AND($B52="x",G91=0),G52,0)</f>
        <v/>
      </c>
      <c r="H110" s="272">
        <f>IF(AND($B52="x",H91=0),H52,0)</f>
        <v/>
      </c>
      <c r="I110" s="272">
        <f>IF(AND($B52="x",I91=0),I52,0)</f>
        <v/>
      </c>
      <c r="J110" s="272">
        <f>IF(AND($B52="x",J91=0),J52,0)</f>
        <v/>
      </c>
      <c r="K110" s="272">
        <f>IF(AND($B52="x",K91=0),K52,0)</f>
        <v/>
      </c>
      <c r="L110" s="272">
        <f>IF(AND($B52="x",L91=0),L52,0)</f>
        <v/>
      </c>
      <c r="M110" s="272">
        <f>IF(AND($B52="x",M91=0),M52,0)</f>
        <v/>
      </c>
      <c r="N110" s="272">
        <f>IF(AND($B52="x",N91=0),N52,0)</f>
        <v/>
      </c>
      <c r="O110" s="272">
        <f>IF(AND($B52="x",O91=0),O52,0)</f>
        <v/>
      </c>
      <c r="P110" s="272">
        <f>IF(AND($B52="x",P91=0),P52,0)</f>
        <v/>
      </c>
      <c r="Q110" s="272">
        <f>IF(AND($B52="x",Q91=0),Q52,0)</f>
        <v/>
      </c>
      <c r="R110" s="272">
        <f>IF(AND($B52="x",R91=0),R52,0)</f>
        <v/>
      </c>
      <c r="S110" s="272">
        <f>IF(AND($B52="x",S91=0),S52,0)</f>
        <v/>
      </c>
      <c r="T110" s="272">
        <f>IF(AND($B52="x",T91=0),T52,0)</f>
        <v/>
      </c>
      <c r="U110" s="272">
        <f>IF(AND($B52="x",U91=0),U52,0)</f>
        <v/>
      </c>
      <c r="V110" s="272">
        <f>IF(AND($B52="x",V91=0),V52,0)</f>
        <v/>
      </c>
    </row>
    <row r="111" hidden="1" outlineLevel="1">
      <c r="A111" s="222" t="inlineStr">
        <is>
          <t>· Omega-3 hochdosiert</t>
        </is>
      </c>
      <c r="G111" s="272">
        <f>IF(AND($B53="x",G91=0),G53,0)</f>
        <v/>
      </c>
      <c r="H111" s="272">
        <f>IF(AND($B53="x",H91=0),H53,0)</f>
        <v/>
      </c>
      <c r="I111" s="272">
        <f>IF(AND($B53="x",I91=0),I53,0)</f>
        <v/>
      </c>
      <c r="J111" s="272">
        <f>IF(AND($B53="x",J91=0),J53,0)</f>
        <v/>
      </c>
      <c r="K111" s="272">
        <f>IF(AND($B53="x",K91=0),K53,0)</f>
        <v/>
      </c>
      <c r="L111" s="272">
        <f>IF(AND($B53="x",L91=0),L53,0)</f>
        <v/>
      </c>
      <c r="M111" s="272">
        <f>IF(AND($B53="x",M91=0),M53,0)</f>
        <v/>
      </c>
      <c r="N111" s="272">
        <f>IF(AND($B53="x",N91=0),N53,0)</f>
        <v/>
      </c>
      <c r="O111" s="272">
        <f>IF(AND($B53="x",O91=0),O53,0)</f>
        <v/>
      </c>
      <c r="P111" s="272">
        <f>IF(AND($B53="x",P91=0),P53,0)</f>
        <v/>
      </c>
      <c r="Q111" s="272">
        <f>IF(AND($B53="x",Q91=0),Q53,0)</f>
        <v/>
      </c>
      <c r="R111" s="272">
        <f>IF(AND($B53="x",R91=0),R53,0)</f>
        <v/>
      </c>
      <c r="S111" s="272">
        <f>IF(AND($B53="x",S91=0),S53,0)</f>
        <v/>
      </c>
      <c r="T111" s="272">
        <f>IF(AND($B53="x",T91=0),T53,0)</f>
        <v/>
      </c>
      <c r="U111" s="272">
        <f>IF(AND($B53="x",U91=0),U53,0)</f>
        <v/>
      </c>
      <c r="V111" s="272">
        <f>IF(AND($B53="x",V91=0),V53,0)</f>
        <v/>
      </c>
    </row>
    <row r="112" hidden="1" outlineLevel="1">
      <c r="A112" s="222" t="inlineStr">
        <is>
          <t>· OTC-Stack komplett</t>
        </is>
      </c>
      <c r="G112" s="272">
        <f>IF(AND($B54="x",G91=0),G54,0)</f>
        <v/>
      </c>
      <c r="H112" s="272">
        <f>IF(AND($B54="x",H91=0),H54,0)</f>
        <v/>
      </c>
      <c r="I112" s="272">
        <f>IF(AND($B54="x",I91=0),I54,0)</f>
        <v/>
      </c>
      <c r="J112" s="272">
        <f>IF(AND($B54="x",J91=0),J54,0)</f>
        <v/>
      </c>
      <c r="K112" s="272">
        <f>IF(AND($B54="x",K91=0),K54,0)</f>
        <v/>
      </c>
      <c r="L112" s="272">
        <f>IF(AND($B54="x",L91=0),L54,0)</f>
        <v/>
      </c>
      <c r="M112" s="272">
        <f>IF(AND($B54="x",M91=0),M54,0)</f>
        <v/>
      </c>
      <c r="N112" s="272">
        <f>IF(AND($B54="x",N91=0),N54,0)</f>
        <v/>
      </c>
      <c r="O112" s="272">
        <f>IF(AND($B54="x",O91=0),O54,0)</f>
        <v/>
      </c>
      <c r="P112" s="272">
        <f>IF(AND($B54="x",P91=0),P54,0)</f>
        <v/>
      </c>
      <c r="Q112" s="272">
        <f>IF(AND($B54="x",Q91=0),Q54,0)</f>
        <v/>
      </c>
      <c r="R112" s="272">
        <f>IF(AND($B54="x",R91=0),R54,0)</f>
        <v/>
      </c>
      <c r="S112" s="272">
        <f>IF(AND($B54="x",S91=0),S54,0)</f>
        <v/>
      </c>
      <c r="T112" s="272">
        <f>IF(AND($B54="x",T91=0),T54,0)</f>
        <v/>
      </c>
      <c r="U112" s="272">
        <f>IF(AND($B54="x",U91=0),U54,0)</f>
        <v/>
      </c>
      <c r="V112" s="272">
        <f>IF(AND($B54="x",V91=0),V54,0)</f>
        <v/>
      </c>
    </row>
    <row r="113" hidden="1" outlineLevel="1">
      <c r="A113" s="222" t="inlineStr">
        <is>
          <t>· Leber-Supplemente (TUDCA, NAC)</t>
        </is>
      </c>
      <c r="G113" s="272">
        <f>IF(AND($B55="x",G91=0),G55,0)</f>
        <v/>
      </c>
      <c r="H113" s="272">
        <f>IF(AND($B55="x",H91=0),H55,0)</f>
        <v/>
      </c>
      <c r="I113" s="272">
        <f>IF(AND($B55="x",I91=0),I55,0)</f>
        <v/>
      </c>
      <c r="J113" s="272">
        <f>IF(AND($B55="x",J91=0),J55,0)</f>
        <v/>
      </c>
      <c r="K113" s="272">
        <f>IF(AND($B55="x",K91=0),K55,0)</f>
        <v/>
      </c>
      <c r="L113" s="272">
        <f>IF(AND($B55="x",L91=0),L55,0)</f>
        <v/>
      </c>
      <c r="M113" s="272">
        <f>IF(AND($B55="x",M91=0),M55,0)</f>
        <v/>
      </c>
      <c r="N113" s="272">
        <f>IF(AND($B55="x",N91=0),N55,0)</f>
        <v/>
      </c>
      <c r="O113" s="272">
        <f>IF(AND($B55="x",O91=0),O55,0)</f>
        <v/>
      </c>
      <c r="P113" s="272">
        <f>IF(AND($B55="x",P91=0),P55,0)</f>
        <v/>
      </c>
      <c r="Q113" s="272">
        <f>IF(AND($B55="x",Q91=0),Q55,0)</f>
        <v/>
      </c>
      <c r="R113" s="272">
        <f>IF(AND($B55="x",R91=0),R55,0)</f>
        <v/>
      </c>
      <c r="S113" s="272">
        <f>IF(AND($B55="x",S91=0),S55,0)</f>
        <v/>
      </c>
      <c r="T113" s="272">
        <f>IF(AND($B55="x",T91=0),T55,0)</f>
        <v/>
      </c>
      <c r="U113" s="272">
        <f>IF(AND($B55="x",U91=0),U55,0)</f>
        <v/>
      </c>
      <c r="V113" s="272">
        <f>IF(AND($B55="x",V91=0),V55,0)</f>
        <v/>
      </c>
    </row>
    <row r="114" hidden="1" outlineLevel="1">
      <c r="A114" s="222" t="inlineStr">
        <is>
          <t>· Ausdauertraining und Koerperfett runter</t>
        </is>
      </c>
      <c r="G114" s="272">
        <f>IF(AND($B56="x",G91=0),G56,0)</f>
        <v/>
      </c>
      <c r="H114" s="272">
        <f>IF(AND($B56="x",H91=0),H56,0)</f>
        <v/>
      </c>
      <c r="I114" s="272">
        <f>IF(AND($B56="x",I91=0),I56,0)</f>
        <v/>
      </c>
      <c r="J114" s="272">
        <f>IF(AND($B56="x",J91=0),J56,0)</f>
        <v/>
      </c>
      <c r="K114" s="272">
        <f>IF(AND($B56="x",K91=0),K56,0)</f>
        <v/>
      </c>
      <c r="L114" s="272">
        <f>IF(AND($B56="x",L91=0),L56,0)</f>
        <v/>
      </c>
      <c r="M114" s="272">
        <f>IF(AND($B56="x",M91=0),M56,0)</f>
        <v/>
      </c>
      <c r="N114" s="272">
        <f>IF(AND($B56="x",N91=0),N56,0)</f>
        <v/>
      </c>
      <c r="O114" s="272">
        <f>IF(AND($B56="x",O91=0),O56,0)</f>
        <v/>
      </c>
      <c r="P114" s="272">
        <f>IF(AND($B56="x",P91=0),P56,0)</f>
        <v/>
      </c>
      <c r="Q114" s="272">
        <f>IF(AND($B56="x",Q91=0),Q56,0)</f>
        <v/>
      </c>
      <c r="R114" s="272">
        <f>IF(AND($B56="x",R91=0),R56,0)</f>
        <v/>
      </c>
      <c r="S114" s="272">
        <f>IF(AND($B56="x",S91=0),S56,0)</f>
        <v/>
      </c>
      <c r="T114" s="272">
        <f>IF(AND($B56="x",T91=0),T56,0)</f>
        <v/>
      </c>
      <c r="U114" s="272">
        <f>IF(AND($B56="x",U91=0),U56,0)</f>
        <v/>
      </c>
      <c r="V114" s="272">
        <f>IF(AND($B56="x",V91=0),V56,0)</f>
        <v/>
      </c>
    </row>
    <row r="115" hidden="1" outlineLevel="1">
      <c r="A115" s="222" t="inlineStr">
        <is>
          <t>· Salzreduktion</t>
        </is>
      </c>
      <c r="G115" s="272">
        <f>IF(AND($B57="x",G91=0),G57,0)</f>
        <v/>
      </c>
      <c r="H115" s="272">
        <f>IF(AND($B57="x",H91=0),H57,0)</f>
        <v/>
      </c>
      <c r="I115" s="272">
        <f>IF(AND($B57="x",I91=0),I57,0)</f>
        <v/>
      </c>
      <c r="J115" s="272">
        <f>IF(AND($B57="x",J91=0),J57,0)</f>
        <v/>
      </c>
      <c r="K115" s="272">
        <f>IF(AND($B57="x",K91=0),K57,0)</f>
        <v/>
      </c>
      <c r="L115" s="272">
        <f>IF(AND($B57="x",L91=0),L57,0)</f>
        <v/>
      </c>
      <c r="M115" s="272">
        <f>IF(AND($B57="x",M91=0),M57,0)</f>
        <v/>
      </c>
      <c r="N115" s="272">
        <f>IF(AND($B57="x",N91=0),N57,0)</f>
        <v/>
      </c>
      <c r="O115" s="272">
        <f>IF(AND($B57="x",O91=0),O57,0)</f>
        <v/>
      </c>
      <c r="P115" s="272">
        <f>IF(AND($B57="x",P91=0),P57,0)</f>
        <v/>
      </c>
      <c r="Q115" s="272">
        <f>IF(AND($B57="x",Q91=0),Q57,0)</f>
        <v/>
      </c>
      <c r="R115" s="272">
        <f>IF(AND($B57="x",R91=0),R57,0)</f>
        <v/>
      </c>
      <c r="S115" s="272">
        <f>IF(AND($B57="x",S91=0),S57,0)</f>
        <v/>
      </c>
      <c r="T115" s="272">
        <f>IF(AND($B57="x",T91=0),T57,0)</f>
        <v/>
      </c>
      <c r="U115" s="272">
        <f>IF(AND($B57="x",U91=0),U57,0)</f>
        <v/>
      </c>
      <c r="V115" s="272">
        <f>IF(AND($B57="x",V91=0),V57,0)</f>
        <v/>
      </c>
    </row>
    <row r="116" hidden="1" outlineLevel="1">
      <c r="A116" s="222" t="inlineStr">
        <is>
          <t>· Aromatasehemmer</t>
        </is>
      </c>
      <c r="G116" s="272">
        <f>IF(AND($B58="x",G91=0),G58,0)</f>
        <v/>
      </c>
      <c r="H116" s="272">
        <f>IF(OR($B58="x",$C58="x"),H58,0)</f>
        <v/>
      </c>
      <c r="I116" s="272">
        <f>IF(AND($B58="x",I91=0),I58,0)</f>
        <v/>
      </c>
      <c r="J116" s="272">
        <f>IF(AND($B58="x",J91=0),J58,0)</f>
        <v/>
      </c>
      <c r="K116" s="272">
        <f>IF(AND($B58="x",K91=0),K58,0)</f>
        <v/>
      </c>
      <c r="L116" s="272">
        <f>IF(AND($B58="x",L91=0),L58,0)</f>
        <v/>
      </c>
      <c r="M116" s="272">
        <f>IF(AND($B58="x",M91=0),M58,0)</f>
        <v/>
      </c>
      <c r="N116" s="272">
        <f>IF(OR($B58="x",$C58="x"),N58,0)</f>
        <v/>
      </c>
      <c r="O116" s="272">
        <f>IF(AND($B58="x",O91=0),O58,0)</f>
        <v/>
      </c>
      <c r="P116" s="272">
        <f>IF(AND($B58="x",P91=0),P58,0)</f>
        <v/>
      </c>
      <c r="Q116" s="272">
        <f>IF(AND($B58="x",Q91=0),Q58,0)</f>
        <v/>
      </c>
      <c r="R116" s="272">
        <f>IF(AND($B58="x",R91=0),R58,0)</f>
        <v/>
      </c>
      <c r="S116" s="272">
        <f>IF(AND($B58="x",S91=0),S58,0)</f>
        <v/>
      </c>
      <c r="T116" s="272">
        <f>IF(AND($B58="x",T91=0),T58,0)</f>
        <v/>
      </c>
      <c r="U116" s="272">
        <f>IF(AND($B58="x",U91=0),U58,0)</f>
        <v/>
      </c>
      <c r="V116" s="272">
        <f>IF(AND($B58="x",V91=0),V58,0)</f>
        <v/>
      </c>
    </row>
    <row r="117" hidden="1" outlineLevel="1">
      <c r="A117" s="222" t="inlineStr">
        <is>
          <t>· 5-alpha-Reduktase-Hemmer</t>
        </is>
      </c>
      <c r="G117" s="272">
        <f>IF(AND($B59="x",G91=0),G59,0)</f>
        <v/>
      </c>
      <c r="H117" s="272">
        <f>IF(AND($B59="x",H91=0),H59,0)</f>
        <v/>
      </c>
      <c r="I117" s="272">
        <f>IF(AND($B59="x",I91=0),I59,0)</f>
        <v/>
      </c>
      <c r="J117" s="272">
        <f>IF(AND($B59="x",J91=0),J59,0)</f>
        <v/>
      </c>
      <c r="K117" s="272">
        <f>IF(AND($B59="x",K91=0),K59,0)</f>
        <v/>
      </c>
      <c r="L117" s="272">
        <f>IF(AND($B59="x",L91=0),L59,0)</f>
        <v/>
      </c>
      <c r="M117" s="272">
        <f>IF(AND($B59="x",M91=0),M59,0)</f>
        <v/>
      </c>
      <c r="N117" s="272">
        <f>IF(OR($B59="x",$C59="x"),N59,0)</f>
        <v/>
      </c>
      <c r="O117" s="272">
        <f>IF(AND($B59="x",O91=0),O59,0)</f>
        <v/>
      </c>
      <c r="P117" s="272">
        <f>IF(AND($B59="x",P91=0),P59,0)</f>
        <v/>
      </c>
      <c r="Q117" s="272">
        <f>IF(AND($B59="x",Q91=0),Q59,0)</f>
        <v/>
      </c>
      <c r="R117" s="272">
        <f>IF(AND($B59="x",R91=0),R59,0)</f>
        <v/>
      </c>
      <c r="S117" s="272">
        <f>IF(AND($B59="x",S91=0),S59,0)</f>
        <v/>
      </c>
      <c r="T117" s="272">
        <f>IF(AND($B59="x",T91=0),T59,0)</f>
        <v/>
      </c>
      <c r="U117" s="272">
        <f>IF(AND($B59="x",U91=0),U59,0)</f>
        <v/>
      </c>
      <c r="V117" s="272">
        <f>IF(AND($B59="x",V91=0),V59,0)</f>
        <v/>
      </c>
    </row>
    <row r="118" hidden="1" outlineLevel="1">
      <c r="A118" s="222" t="inlineStr">
        <is>
          <t>· ASS niedrig dosiert</t>
        </is>
      </c>
      <c r="G118" s="272">
        <f>IF(AND($B60="x",G91=0),G60,0)</f>
        <v/>
      </c>
      <c r="H118" s="272">
        <f>IF(AND($B60="x",H91=0),H60,0)</f>
        <v/>
      </c>
      <c r="I118" s="272">
        <f>IF(AND($B60="x",I91=0),I60,0)</f>
        <v/>
      </c>
      <c r="J118" s="272">
        <f>IF(AND($B60="x",J91=0),J60,0)</f>
        <v/>
      </c>
      <c r="K118" s="272">
        <f>IF(AND($B60="x",K91=0),K60,0)</f>
        <v/>
      </c>
      <c r="L118" s="272">
        <f>IF(AND($B60="x",L91=0),L60,0)</f>
        <v/>
      </c>
      <c r="M118" s="272">
        <f>IF(AND($B60="x",M91=0),M60,0)</f>
        <v/>
      </c>
      <c r="N118" s="272">
        <f>IF(AND($B60="x",N91=0),N60,0)</f>
        <v/>
      </c>
      <c r="O118" s="272">
        <f>IF(AND($B60="x",O91=0),O60,0)</f>
        <v/>
      </c>
      <c r="P118" s="272">
        <f>IF(AND($B60="x",P91=0),P60,0)</f>
        <v/>
      </c>
      <c r="Q118" s="272">
        <f>IF(AND($B60="x",Q91=0),Q60,0)</f>
        <v/>
      </c>
      <c r="R118" s="272">
        <f>IF(AND($B60="x",R91=0),R60,0)</f>
        <v/>
      </c>
      <c r="S118" s="272">
        <f>IF(AND($B60="x",S91=0),S60,0)</f>
        <v/>
      </c>
      <c r="T118" s="272">
        <f>IF(AND($B60="x",T91=0),T60,0)</f>
        <v/>
      </c>
      <c r="U118" s="272">
        <f>IF(AND($B60="x",U91=0),U60,0)</f>
        <v/>
      </c>
      <c r="V118" s="272">
        <f>IF(AND($B60="x",V91=0),V60,0)</f>
        <v/>
      </c>
    </row>
    <row r="119" hidden="1" outlineLevel="1">
      <c r="A119" s="222" t="inlineStr">
        <is>
          <t>· Cabergolin oder P5P</t>
        </is>
      </c>
      <c r="G119" s="272">
        <f>IF(AND($B61="x",G91=0),G61,0)</f>
        <v/>
      </c>
      <c r="H119" s="272">
        <f>IF(AND($B61="x",H91=0),H61,0)</f>
        <v/>
      </c>
      <c r="I119" s="272">
        <f>IF(AND($B61="x",I91=0),I61,0)</f>
        <v/>
      </c>
      <c r="J119" s="272">
        <f>IF(AND($B61="x",J91=0),J61,0)</f>
        <v/>
      </c>
      <c r="K119" s="272">
        <f>IF(AND($B61="x",K91=0),K61,0)</f>
        <v/>
      </c>
      <c r="L119" s="272">
        <f>IF(AND($B61="x",L91=0),L61,0)</f>
        <v/>
      </c>
      <c r="M119" s="272">
        <f>IF(AND($B61="x",M91=0),M61,0)</f>
        <v/>
      </c>
      <c r="N119" s="272">
        <f>IF(AND($B61="x",N91=0),N61,0)</f>
        <v/>
      </c>
      <c r="O119" s="272">
        <f>IF(AND($B61="x",O91=0),O61,0)</f>
        <v/>
      </c>
      <c r="P119" s="272">
        <f>IF(AND($B61="x",P91=0),P61,0)</f>
        <v/>
      </c>
      <c r="Q119" s="272">
        <f>IF(AND($B61="x",Q91=0),Q61,0)</f>
        <v/>
      </c>
      <c r="R119" s="272">
        <f>IF(AND($B61="x",R91=0),R61,0)</f>
        <v/>
      </c>
      <c r="S119" s="272">
        <f>IF(AND($B61="x",S91=0),S61,0)</f>
        <v/>
      </c>
      <c r="T119" s="272">
        <f>IF(AND($B61="x",T91=0),T61,0)</f>
        <v/>
      </c>
      <c r="U119" s="272">
        <f>IF(AND($B61="x",U91=0),U61,0)</f>
        <v/>
      </c>
      <c r="V119" s="272">
        <f>IF(AND($B61="x",V91=0),V61,0)</f>
        <v/>
      </c>
    </row>
    <row r="120" hidden="1" outlineLevel="1">
      <c r="A120" s="222" t="inlineStr">
        <is>
          <t>· SERM (Tamoxifen, Raloxifen, Enclomifen)</t>
        </is>
      </c>
      <c r="G120" s="272">
        <f>IF(AND($B62="x",G91=0),G62,0)</f>
        <v/>
      </c>
      <c r="H120" s="272">
        <f>IF(AND($B62="x",H91=0),H62,0)</f>
        <v/>
      </c>
      <c r="I120" s="272">
        <f>IF(AND($B62="x",I91=0),I62,0)</f>
        <v/>
      </c>
      <c r="J120" s="272">
        <f>IF(AND($B62="x",J91=0),J62,0)</f>
        <v/>
      </c>
      <c r="K120" s="272">
        <f>IF(AND($B62="x",K91=0),K62,0)</f>
        <v/>
      </c>
      <c r="L120" s="272">
        <f>IF(AND($B62="x",L91=0),L62,0)</f>
        <v/>
      </c>
      <c r="M120" s="272">
        <f>IF(AND($B62="x",M91=0),M62,0)</f>
        <v/>
      </c>
      <c r="N120" s="272">
        <f>IF(OR($B62="x",$C62="x"),N62,0)</f>
        <v/>
      </c>
      <c r="O120" s="272">
        <f>IF(AND($B62="x",O91=0),O62,0)</f>
        <v/>
      </c>
      <c r="P120" s="272">
        <f>IF(AND($B62="x",P91=0),P62,0)</f>
        <v/>
      </c>
      <c r="Q120" s="272">
        <f>IF(AND($B62="x",Q91=0),Q62,0)</f>
        <v/>
      </c>
      <c r="R120" s="272">
        <f>IF(AND($B62="x",R91=0),R62,0)</f>
        <v/>
      </c>
      <c r="S120" s="272">
        <f>IF(AND($B62="x",S91=0),S62,0)</f>
        <v/>
      </c>
      <c r="T120" s="272">
        <f>IF(AND($B62="x",T91=0),T62,0)</f>
        <v/>
      </c>
      <c r="U120" s="272">
        <f>IF(AND($B62="x",U91=0),U62,0)</f>
        <v/>
      </c>
      <c r="V120" s="272">
        <f>IF(AND($B62="x",V91=0),V62,0)</f>
        <v/>
      </c>
    </row>
    <row r="121" hidden="1" outlineLevel="1">
      <c r="A121" s="222" t="inlineStr">
        <is>
          <t>· Testosteron</t>
        </is>
      </c>
      <c r="G121" s="272">
        <f>IF(AND($B63="x",G91=0),G63,0)</f>
        <v/>
      </c>
      <c r="H121" s="272">
        <f>IF(AND($B63="x",H91=0),H63,0)</f>
        <v/>
      </c>
      <c r="I121" s="272">
        <f>IF(AND($B63="x",I91=0),I63,0)</f>
        <v/>
      </c>
      <c r="J121" s="272">
        <f>IF(AND($B63="x",J91=0),J63,0)</f>
        <v/>
      </c>
      <c r="K121" s="272">
        <f>IF(AND($B63="x",K91=0),K63,0)</f>
        <v/>
      </c>
      <c r="L121" s="272">
        <f>IF(AND($B63="x",L91=0),L63,0)</f>
        <v/>
      </c>
      <c r="M121" s="272">
        <f>IF(AND($B63="x",M91=0),M63,0)</f>
        <v/>
      </c>
      <c r="N121" s="272">
        <f>IF(AND($B63="x",N91=0),N63,0)</f>
        <v/>
      </c>
      <c r="O121" s="272">
        <f>IF(AND($B63="x",O91=0),O63,0)</f>
        <v/>
      </c>
      <c r="P121" s="272">
        <f>IF(AND($B63="x",P91=0),P63,0)</f>
        <v/>
      </c>
      <c r="Q121" s="272">
        <f>IF(AND($B63="x",Q91=0),Q63,0)</f>
        <v/>
      </c>
      <c r="R121" s="272">
        <f>IF(AND($B63="x",R91=0),R63,0)</f>
        <v/>
      </c>
      <c r="S121" s="272">
        <f>IF(AND($B63="x",S91=0),S63,0)</f>
        <v/>
      </c>
      <c r="T121" s="272">
        <f>IF(AND($B63="x",T91=0),T63,0)</f>
        <v/>
      </c>
      <c r="U121" s="272">
        <f>IF(AND($B63="x",U91=0),U63,0)</f>
        <v/>
      </c>
      <c r="V121" s="272">
        <f>IF(AND($B63="x",V91=0),V63,0)</f>
        <v/>
      </c>
    </row>
    <row r="122" hidden="1" outlineLevel="1">
      <c r="A122" s="222" t="inlineStr">
        <is>
          <t>· Nandrolon</t>
        </is>
      </c>
      <c r="G122" s="272">
        <f>IF(OR($B64="x",$C64="x"),G64,0)</f>
        <v/>
      </c>
      <c r="H122" s="272">
        <f>IF(OR($B64="x",$C64="x"),H64,0)</f>
        <v/>
      </c>
      <c r="I122" s="272">
        <f>IF(AND($B64="x",I91=0),I64,0)</f>
        <v/>
      </c>
      <c r="J122" s="272">
        <f>IF(OR($B64="x",$C64="x"),J64,0)</f>
        <v/>
      </c>
      <c r="K122" s="272">
        <f>IF(OR($B64="x",$C64="x"),K64,0)</f>
        <v/>
      </c>
      <c r="L122" s="272">
        <f>IF(AND($B64="x",L91=0),L64,0)</f>
        <v/>
      </c>
      <c r="M122" s="272">
        <f>IF(AND($B64="x",M91=0),M64,0)</f>
        <v/>
      </c>
      <c r="N122" s="272">
        <f>IF(OR($B64="x",$C64="x"),N64,0)</f>
        <v/>
      </c>
      <c r="O122" s="272">
        <f>IF(OR($B64="x",$C64="x"),O64,0)</f>
        <v/>
      </c>
      <c r="P122" s="272">
        <f>IF(AND($B64="x",P91=0),P64,0)</f>
        <v/>
      </c>
      <c r="Q122" s="272">
        <f>IF(AND($B64="x",Q91=0),Q64,0)</f>
        <v/>
      </c>
      <c r="R122" s="272">
        <f>IF(AND($B64="x",R91=0),R64,0)</f>
        <v/>
      </c>
      <c r="S122" s="272">
        <f>IF(AND($B64="x",S91=0),S64,0)</f>
        <v/>
      </c>
      <c r="T122" s="272">
        <f>IF(AND($B64="x",T91=0),T64,0)</f>
        <v/>
      </c>
      <c r="U122" s="272">
        <f>IF(AND($B64="x",U91=0),U64,0)</f>
        <v/>
      </c>
      <c r="V122" s="272">
        <f>IF(AND($B64="x",V91=0),V64,0)</f>
        <v/>
      </c>
    </row>
    <row r="123" hidden="1" outlineLevel="1">
      <c r="A123" s="222" t="inlineStr">
        <is>
          <t>· Trenbolon</t>
        </is>
      </c>
      <c r="G123" s="272">
        <f>IF(OR($B65="x",$C65="x"),G65,0)</f>
        <v/>
      </c>
      <c r="H123" s="272">
        <f>IF(OR($B65="x",$C65="x"),H65,0)</f>
        <v/>
      </c>
      <c r="I123" s="272">
        <f>IF(AND($B65="x",I91=0),I65,0)</f>
        <v/>
      </c>
      <c r="J123" s="272">
        <f>IF(OR($B65="x",$C65="x"),J65,0)</f>
        <v/>
      </c>
      <c r="K123" s="272">
        <f>IF(OR($B65="x",$C65="x"),K65,0)</f>
        <v/>
      </c>
      <c r="L123" s="272">
        <f>IF(AND($B65="x",L91=0),L65,0)</f>
        <v/>
      </c>
      <c r="M123" s="272">
        <f>IF(AND($B65="x",M91=0),M65,0)</f>
        <v/>
      </c>
      <c r="N123" s="272">
        <f>IF(OR($B65="x",$C65="x"),N65,0)</f>
        <v/>
      </c>
      <c r="O123" s="272">
        <f>IF(OR($B65="x",$C65="x"),O65,0)</f>
        <v/>
      </c>
      <c r="P123" s="272">
        <f>IF(AND($B65="x",P91=0),P65,0)</f>
        <v/>
      </c>
      <c r="Q123" s="272">
        <f>IF(OR($B65="x",$C65="x"),Q65,0)</f>
        <v/>
      </c>
      <c r="R123" s="272">
        <f>IF(OR($B65="x",$C65="x"),R65,0)</f>
        <v/>
      </c>
      <c r="S123" s="272">
        <f>IF(AND($B65="x",S91=0),S65,0)</f>
        <v/>
      </c>
      <c r="T123" s="272">
        <f>IF(AND($B65="x",T91=0),T65,0)</f>
        <v/>
      </c>
      <c r="U123" s="272">
        <f>IF(AND($B65="x",U91=0),U65,0)</f>
        <v/>
      </c>
      <c r="V123" s="272">
        <f>IF(OR($B65="x",$C65="x"),V65,0)</f>
        <v/>
      </c>
    </row>
    <row r="124" hidden="1" outlineLevel="1">
      <c r="A124" s="222" t="inlineStr">
        <is>
          <t>· Boldenon</t>
        </is>
      </c>
      <c r="G124" s="272">
        <f>IF(OR($B66="x",$C66="x"),G66,0)</f>
        <v/>
      </c>
      <c r="H124" s="272">
        <f>IF(OR($B66="x",$C66="x"),H66,0)</f>
        <v/>
      </c>
      <c r="I124" s="272">
        <f>IF(AND($B66="x",I91=0),I66,0)</f>
        <v/>
      </c>
      <c r="J124" s="272">
        <f>IF(AND($B66="x",J91=0),J66,0)</f>
        <v/>
      </c>
      <c r="K124" s="272">
        <f>IF(AND($B66="x",K91=0),K66,0)</f>
        <v/>
      </c>
      <c r="L124" s="272">
        <f>IF(AND($B66="x",L91=0),L66,0)</f>
        <v/>
      </c>
      <c r="M124" s="272">
        <f>IF(AND($B66="x",M91=0),M66,0)</f>
        <v/>
      </c>
      <c r="N124" s="272">
        <f>IF(OR($B66="x",$C66="x"),N66,0)</f>
        <v/>
      </c>
      <c r="O124" s="272">
        <f>IF(OR($B66="x",$C66="x"),O66,0)</f>
        <v/>
      </c>
      <c r="P124" s="272">
        <f>IF(AND($B66="x",P91=0),P66,0)</f>
        <v/>
      </c>
      <c r="Q124" s="272">
        <f>IF(AND($B66="x",Q91=0),Q66,0)</f>
        <v/>
      </c>
      <c r="R124" s="272">
        <f>IF(OR($B66="x",$C66="x"),R66,0)</f>
        <v/>
      </c>
      <c r="S124" s="272">
        <f>IF(AND($B66="x",S91=0),S66,0)</f>
        <v/>
      </c>
      <c r="T124" s="272">
        <f>IF(AND($B66="x",T91=0),T66,0)</f>
        <v/>
      </c>
      <c r="U124" s="272">
        <f>IF(AND($B66="x",U91=0),U66,0)</f>
        <v/>
      </c>
      <c r="V124" s="272">
        <f>IF(AND($B66="x",V91=0),V66,0)</f>
        <v/>
      </c>
    </row>
    <row r="125" hidden="1" outlineLevel="1">
      <c r="A125" s="222" t="inlineStr">
        <is>
          <t>· Primobolan (Methenolon)</t>
        </is>
      </c>
      <c r="G125" s="272">
        <f>IF(OR($B67="x",$C67="x"),G67,0)</f>
        <v/>
      </c>
      <c r="H125" s="272">
        <f>IF(OR($B67="x",$C67="x"),H67,0)</f>
        <v/>
      </c>
      <c r="I125" s="272">
        <f>IF(AND($B67="x",I91=0),I67,0)</f>
        <v/>
      </c>
      <c r="J125" s="272">
        <f>IF(AND($B67="x",J91=0),J67,0)</f>
        <v/>
      </c>
      <c r="K125" s="272">
        <f>IF(AND($B67="x",K91=0),K67,0)</f>
        <v/>
      </c>
      <c r="L125" s="272">
        <f>IF(AND($B67="x",L91=0),L67,0)</f>
        <v/>
      </c>
      <c r="M125" s="272">
        <f>IF(AND($B67="x",M91=0),M67,0)</f>
        <v/>
      </c>
      <c r="N125" s="272">
        <f>IF(AND($B67="x",N91=0),N67,0)</f>
        <v/>
      </c>
      <c r="O125" s="272">
        <f>IF(AND($B67="x",O91=0),O67,0)</f>
        <v/>
      </c>
      <c r="P125" s="272">
        <f>IF(AND($B67="x",P91=0),P67,0)</f>
        <v/>
      </c>
      <c r="Q125" s="272">
        <f>IF(AND($B67="x",Q91=0),Q67,0)</f>
        <v/>
      </c>
      <c r="R125" s="272">
        <f>IF(AND($B67="x",R91=0),R67,0)</f>
        <v/>
      </c>
      <c r="S125" s="272">
        <f>IF(AND($B67="x",S91=0),S67,0)</f>
        <v/>
      </c>
      <c r="T125" s="272">
        <f>IF(AND($B67="x",T91=0),T67,0)</f>
        <v/>
      </c>
      <c r="U125" s="272">
        <f>IF(AND($B67="x",U91=0),U67,0)</f>
        <v/>
      </c>
      <c r="V125" s="272">
        <f>IF(OR($B67="x",$C67="x"),V67,0)</f>
        <v/>
      </c>
    </row>
    <row r="126" hidden="1" outlineLevel="1">
      <c r="A126" s="222" t="inlineStr">
        <is>
          <t>· Drostanolon</t>
        </is>
      </c>
      <c r="G126" s="272">
        <f>IF(OR($B68="x",$C68="x"),G68,0)</f>
        <v/>
      </c>
      <c r="H126" s="272">
        <f>IF(OR($B68="x",$C68="x"),H68,0)</f>
        <v/>
      </c>
      <c r="I126" s="272">
        <f>IF(AND($B68="x",I91=0),I68,0)</f>
        <v/>
      </c>
      <c r="J126" s="272">
        <f>IF(AND($B68="x",J91=0),J68,0)</f>
        <v/>
      </c>
      <c r="K126" s="272">
        <f>IF(AND($B68="x",K91=0),K68,0)</f>
        <v/>
      </c>
      <c r="L126" s="272">
        <f>IF(AND($B68="x",L91=0),L68,0)</f>
        <v/>
      </c>
      <c r="M126" s="272">
        <f>IF(AND($B68="x",M91=0),M68,0)</f>
        <v/>
      </c>
      <c r="N126" s="272">
        <f>IF(AND($B68="x",N91=0),N68,0)</f>
        <v/>
      </c>
      <c r="O126" s="272">
        <f>IF(AND($B68="x",O91=0),O68,0)</f>
        <v/>
      </c>
      <c r="P126" s="272">
        <f>IF(AND($B68="x",P91=0),P68,0)</f>
        <v/>
      </c>
      <c r="Q126" s="272">
        <f>IF(AND($B68="x",Q91=0),Q68,0)</f>
        <v/>
      </c>
      <c r="R126" s="272">
        <f>IF(AND($B68="x",R91=0),R68,0)</f>
        <v/>
      </c>
      <c r="S126" s="272">
        <f>IF(AND($B68="x",S91=0),S68,0)</f>
        <v/>
      </c>
      <c r="T126" s="272">
        <f>IF(AND($B68="x",T91=0),T68,0)</f>
        <v/>
      </c>
      <c r="U126" s="272">
        <f>IF(AND($B68="x",U91=0),U68,0)</f>
        <v/>
      </c>
      <c r="V126" s="272">
        <f>IF(OR($B68="x",$C68="x"),V68,0)</f>
        <v/>
      </c>
    </row>
    <row r="127" hidden="1" outlineLevel="1">
      <c r="A127" s="222" t="inlineStr">
        <is>
          <t>· Turinabol</t>
        </is>
      </c>
      <c r="G127" s="272">
        <f>IF(OR($B69="x",$C69="x"),G69,0)</f>
        <v/>
      </c>
      <c r="H127" s="272">
        <f>IF(OR($B69="x",$C69="x"),H69,0)</f>
        <v/>
      </c>
      <c r="I127" s="272">
        <f>IF(OR($B69="x",$C69="x"),I69,0)</f>
        <v/>
      </c>
      <c r="J127" s="272">
        <f>IF(AND($B69="x",J91=0),J69,0)</f>
        <v/>
      </c>
      <c r="K127" s="272">
        <f>IF(AND($B69="x",K91=0),K69,0)</f>
        <v/>
      </c>
      <c r="L127" s="272">
        <f>IF(AND($B69="x",L91=0),L69,0)</f>
        <v/>
      </c>
      <c r="M127" s="272">
        <f>IF(AND($B69="x",M91=0),M69,0)</f>
        <v/>
      </c>
      <c r="N127" s="272">
        <f>IF(OR($B69="x",$C69="x"),N69,0)</f>
        <v/>
      </c>
      <c r="O127" s="272">
        <f>IF(OR($B69="x",$C69="x"),O69,0)</f>
        <v/>
      </c>
      <c r="P127" s="272">
        <f>IF(AND($B69="x",P91=0),P69,0)</f>
        <v/>
      </c>
      <c r="Q127" s="272">
        <f>IF(AND($B69="x",Q91=0),Q69,0)</f>
        <v/>
      </c>
      <c r="R127" s="272">
        <f>IF(AND($B69="x",R91=0),R69,0)</f>
        <v/>
      </c>
      <c r="S127" s="272">
        <f>IF(OR($B69="x",$C69="x"),S69,0)</f>
        <v/>
      </c>
      <c r="T127" s="272">
        <f>IF(AND($B69="x",T91=0),T69,0)</f>
        <v/>
      </c>
      <c r="U127" s="272">
        <f>IF(AND($B69="x",U91=0),U69,0)</f>
        <v/>
      </c>
      <c r="V127" s="272">
        <f>IF(AND($B69="x",V91=0),V69,0)</f>
        <v/>
      </c>
    </row>
    <row r="128" hidden="1" outlineLevel="1">
      <c r="A128" s="222" t="inlineStr">
        <is>
          <t>· Oxandrolon</t>
        </is>
      </c>
      <c r="G128" s="272">
        <f>IF(OR($B70="x",$C70="x"),G70,0)</f>
        <v/>
      </c>
      <c r="H128" s="272">
        <f>IF(OR($B70="x",$C70="x"),H70,0)</f>
        <v/>
      </c>
      <c r="I128" s="272">
        <f>IF(OR($B70="x",$C70="x"),I70,0)</f>
        <v/>
      </c>
      <c r="J128" s="272">
        <f>IF(AND($B70="x",J91=0),J70,0)</f>
        <v/>
      </c>
      <c r="K128" s="272">
        <f>IF(AND($B70="x",K91=0),K70,0)</f>
        <v/>
      </c>
      <c r="L128" s="272">
        <f>IF(AND($B70="x",L91=0),L70,0)</f>
        <v/>
      </c>
      <c r="M128" s="272">
        <f>IF(AND($B70="x",M91=0),M70,0)</f>
        <v/>
      </c>
      <c r="N128" s="272">
        <f>IF(OR($B70="x",$C70="x"),N70,0)</f>
        <v/>
      </c>
      <c r="O128" s="272">
        <f>IF(OR($B70="x",$C70="x"),O70,0)</f>
        <v/>
      </c>
      <c r="P128" s="272">
        <f>IF(AND($B70="x",P91=0),P70,0)</f>
        <v/>
      </c>
      <c r="Q128" s="272">
        <f>IF(AND($B70="x",Q91=0),Q70,0)</f>
        <v/>
      </c>
      <c r="R128" s="272">
        <f>IF(OR($B70="x",$C70="x"),R70,0)</f>
        <v/>
      </c>
      <c r="S128" s="272">
        <f>IF(OR($B70="x",$C70="x"),S70,0)</f>
        <v/>
      </c>
      <c r="T128" s="272">
        <f>IF(AND($B70="x",T91=0),T70,0)</f>
        <v/>
      </c>
      <c r="U128" s="272">
        <f>IF(AND($B70="x",U91=0),U70,0)</f>
        <v/>
      </c>
      <c r="V128" s="272">
        <f>IF(AND($B70="x",V91=0),V70,0)</f>
        <v/>
      </c>
    </row>
    <row r="129" hidden="1" outlineLevel="1">
      <c r="A129" s="222" t="inlineStr">
        <is>
          <t>· Methandienon</t>
        </is>
      </c>
      <c r="G129" s="272">
        <f>IF(OR($B71="x",$C71="x"),G71,0)</f>
        <v/>
      </c>
      <c r="H129" s="272">
        <f>IF(OR($B71="x",$C71="x"),H71,0)</f>
        <v/>
      </c>
      <c r="I129" s="272">
        <f>IF(OR($B71="x",$C71="x"),I71,0)</f>
        <v/>
      </c>
      <c r="J129" s="272">
        <f>IF(OR($B71="x",$C71="x"),J71,0)</f>
        <v/>
      </c>
      <c r="K129" s="272">
        <f>IF(AND($B71="x",K91=0),K71,0)</f>
        <v/>
      </c>
      <c r="L129" s="272">
        <f>IF(AND($B71="x",L91=0),L71,0)</f>
        <v/>
      </c>
      <c r="M129" s="272">
        <f>IF(AND($B71="x",M91=0),M71,0)</f>
        <v/>
      </c>
      <c r="N129" s="272">
        <f>IF(OR($B71="x",$C71="x"),N71,0)</f>
        <v/>
      </c>
      <c r="O129" s="272">
        <f>IF(OR($B71="x",$C71="x"),O71,0)</f>
        <v/>
      </c>
      <c r="P129" s="272">
        <f>IF(AND($B71="x",P91=0),P71,0)</f>
        <v/>
      </c>
      <c r="Q129" s="272">
        <f>IF(AND($B71="x",Q91=0),Q71,0)</f>
        <v/>
      </c>
      <c r="R129" s="272">
        <f>IF(AND($B71="x",R91=0),R71,0)</f>
        <v/>
      </c>
      <c r="S129" s="272">
        <f>IF(OR($B71="x",$C71="x"),S71,0)</f>
        <v/>
      </c>
      <c r="T129" s="272">
        <f>IF(AND($B71="x",T91=0),T71,0)</f>
        <v/>
      </c>
      <c r="U129" s="272">
        <f>IF(AND($B71="x",U91=0),U71,0)</f>
        <v/>
      </c>
      <c r="V129" s="272">
        <f>IF(OR($B71="x",$C71="x"),V71,0)</f>
        <v/>
      </c>
    </row>
    <row r="130" hidden="1" outlineLevel="1">
      <c r="A130" s="222" t="inlineStr">
        <is>
          <t>· Stanozolol</t>
        </is>
      </c>
      <c r="G130" s="272">
        <f>IF(OR($B72="x",$C72="x"),G72,0)</f>
        <v/>
      </c>
      <c r="H130" s="272">
        <f>IF(OR($B72="x",$C72="x"),H72,0)</f>
        <v/>
      </c>
      <c r="I130" s="272">
        <f>IF(OR($B72="x",$C72="x"),I72,0)</f>
        <v/>
      </c>
      <c r="J130" s="272">
        <f>IF(AND($B72="x",J91=0),J72,0)</f>
        <v/>
      </c>
      <c r="K130" s="272">
        <f>IF(AND($B72="x",K91=0),K72,0)</f>
        <v/>
      </c>
      <c r="L130" s="272">
        <f>IF(OR($B72="x",$C72="x"),L72,0)</f>
        <v/>
      </c>
      <c r="M130" s="272">
        <f>IF(AND($B72="x",M91=0),M72,0)</f>
        <v/>
      </c>
      <c r="N130" s="272">
        <f>IF(OR($B72="x",$C72="x"),N72,0)</f>
        <v/>
      </c>
      <c r="O130" s="272">
        <f>IF(OR($B72="x",$C72="x"),O72,0)</f>
        <v/>
      </c>
      <c r="P130" s="272">
        <f>IF(AND($B72="x",P91=0),P72,0)</f>
        <v/>
      </c>
      <c r="Q130" s="272">
        <f>IF(AND($B72="x",Q91=0),Q72,0)</f>
        <v/>
      </c>
      <c r="R130" s="272">
        <f>IF(AND($B72="x",R91=0),R72,0)</f>
        <v/>
      </c>
      <c r="S130" s="272">
        <f>IF(OR($B72="x",$C72="x"),S72,0)</f>
        <v/>
      </c>
      <c r="T130" s="272">
        <f>IF(AND($B72="x",T91=0),T72,0)</f>
        <v/>
      </c>
      <c r="U130" s="272">
        <f>IF(AND($B72="x",U91=0),U72,0)</f>
        <v/>
      </c>
      <c r="V130" s="272">
        <f>IF(AND($B72="x",V91=0),V72,0)</f>
        <v/>
      </c>
    </row>
    <row r="131" hidden="1" outlineLevel="1">
      <c r="A131" s="222" t="inlineStr">
        <is>
          <t>· Oxymetholon</t>
        </is>
      </c>
      <c r="G131" s="272">
        <f>IF(OR($B73="x",$C73="x"),G73,0)</f>
        <v/>
      </c>
      <c r="H131" s="272">
        <f>IF(OR($B73="x",$C73="x"),H73,0)</f>
        <v/>
      </c>
      <c r="I131" s="272">
        <f>IF(OR($B73="x",$C73="x"),I73,0)</f>
        <v/>
      </c>
      <c r="J131" s="272">
        <f>IF(OR($B73="x",$C73="x"),J73,0)</f>
        <v/>
      </c>
      <c r="K131" s="272">
        <f>IF(AND($B73="x",K91=0),K73,0)</f>
        <v/>
      </c>
      <c r="L131" s="272">
        <f>IF(AND($B73="x",L91=0),L73,0)</f>
        <v/>
      </c>
      <c r="M131" s="272">
        <f>IF(AND($B73="x",M91=0),M73,0)</f>
        <v/>
      </c>
      <c r="N131" s="272">
        <f>IF(OR($B73="x",$C73="x"),N73,0)</f>
        <v/>
      </c>
      <c r="O131" s="272">
        <f>IF(OR($B73="x",$C73="x"),O73,0)</f>
        <v/>
      </c>
      <c r="P131" s="272">
        <f>IF(AND($B73="x",P91=0),P73,0)</f>
        <v/>
      </c>
      <c r="Q131" s="272">
        <f>IF(AND($B73="x",Q91=0),Q73,0)</f>
        <v/>
      </c>
      <c r="R131" s="272">
        <f>IF(AND($B73="x",R91=0),R73,0)</f>
        <v/>
      </c>
      <c r="S131" s="272">
        <f>IF(OR($B73="x",$C73="x"),S73,0)</f>
        <v/>
      </c>
      <c r="T131" s="272">
        <f>IF(AND($B73="x",T91=0),T73,0)</f>
        <v/>
      </c>
      <c r="U131" s="272">
        <f>IF(AND($B73="x",U91=0),U73,0)</f>
        <v/>
      </c>
      <c r="V131" s="272">
        <f>IF(AND($B73="x",V91=0),V73,0)</f>
        <v/>
      </c>
    </row>
    <row r="132" hidden="1" outlineLevel="1">
      <c r="A132" s="222" t="inlineStr">
        <is>
          <t>· SARM (RAD-140, LGD-4033, Ostarin)</t>
        </is>
      </c>
      <c r="G132" s="272">
        <f>IF(OR($B74="x",$C74="x"),G74,0)</f>
        <v/>
      </c>
      <c r="H132" s="272">
        <f>IF(OR($B74="x",$C74="x"),H74,0)</f>
        <v/>
      </c>
      <c r="I132" s="272">
        <f>IF(OR($B74="x",$C74="x"),I74,0)</f>
        <v/>
      </c>
      <c r="J132" s="272">
        <f>IF(AND($B74="x",J91=0),J74,0)</f>
        <v/>
      </c>
      <c r="K132" s="272">
        <f>IF(AND($B74="x",K91=0),K74,0)</f>
        <v/>
      </c>
      <c r="L132" s="272">
        <f>IF(AND($B74="x",L91=0),L74,0)</f>
        <v/>
      </c>
      <c r="M132" s="272">
        <f>IF(AND($B74="x",M91=0),M74,0)</f>
        <v/>
      </c>
      <c r="N132" s="272">
        <f>IF(OR($B74="x",$C74="x"),N74,0)</f>
        <v/>
      </c>
      <c r="O132" s="272">
        <f>IF(AND($B74="x",O91=0),O74,0)</f>
        <v/>
      </c>
      <c r="P132" s="272">
        <f>IF(AND($B74="x",P91=0),P74,0)</f>
        <v/>
      </c>
      <c r="Q132" s="272">
        <f>IF(AND($B74="x",Q91=0),Q74,0)</f>
        <v/>
      </c>
      <c r="R132" s="272">
        <f>IF(AND($B74="x",R91=0),R74,0)</f>
        <v/>
      </c>
      <c r="S132" s="272">
        <f>IF(OR($B74="x",$C74="x"),S74,0)</f>
        <v/>
      </c>
      <c r="T132" s="272">
        <f>IF(AND($B74="x",T91=0),T74,0)</f>
        <v/>
      </c>
      <c r="U132" s="272">
        <f>IF(AND($B74="x",U91=0),U74,0)</f>
        <v/>
      </c>
      <c r="V132" s="272">
        <f>IF(AND($B74="x",V91=0),V74,0)</f>
        <v/>
      </c>
    </row>
    <row r="133" hidden="1" outlineLevel="1">
      <c r="A133" s="222" t="inlineStr">
        <is>
          <t>· Wachstumshormon (hGH)</t>
        </is>
      </c>
      <c r="G133" s="272">
        <f>IF(AND($B75="x",G91=0),G75,0)</f>
        <v/>
      </c>
      <c r="H133" s="272">
        <f>IF(AND($B75="x",H91=0),H75,0)</f>
        <v/>
      </c>
      <c r="I133" s="272">
        <f>IF(AND($B75="x",I91=0),I75,0)</f>
        <v/>
      </c>
      <c r="J133" s="272">
        <f>IF(OR($B75="x",$C75="x"),J75,0)</f>
        <v/>
      </c>
      <c r="K133" s="272">
        <f>IF(OR($B75="x",$C75="x"),K75,0)</f>
        <v/>
      </c>
      <c r="L133" s="272">
        <f>IF(AND($B75="x",L91=0),L75,0)</f>
        <v/>
      </c>
      <c r="M133" s="272">
        <f>IF(AND($B75="x",M91=0),M75,0)</f>
        <v/>
      </c>
      <c r="N133" s="272">
        <f>IF(AND($B75="x",N91=0),N75,0)</f>
        <v/>
      </c>
      <c r="O133" s="272">
        <f>IF(OR($B75="x",$C75="x"),O75,0)</f>
        <v/>
      </c>
      <c r="P133" s="272">
        <f>IF(AND($B75="x",P91=0),P75,0)</f>
        <v/>
      </c>
      <c r="Q133" s="272">
        <f>IF(AND($B75="x",Q91=0),Q75,0)</f>
        <v/>
      </c>
      <c r="R133" s="272">
        <f>IF(AND($B75="x",R91=0),R75,0)</f>
        <v/>
      </c>
      <c r="S133" s="272">
        <f>IF(AND($B75="x",S91=0),S75,0)</f>
        <v/>
      </c>
      <c r="T133" s="272">
        <f>IF(OR($B75="x",$C75="x"),T75,0)</f>
        <v/>
      </c>
      <c r="U133" s="272">
        <f>IF(AND($B75="x",U91=0),U75,0)</f>
        <v/>
      </c>
      <c r="V133" s="272">
        <f>IF(AND($B75="x",V91=0),V75,0)</f>
        <v/>
      </c>
    </row>
    <row r="134" hidden="1" outlineLevel="1">
      <c r="A134" s="222" t="inlineStr">
        <is>
          <t>· Insulin</t>
        </is>
      </c>
      <c r="G134" s="272">
        <f>IF(AND($B76="x",G91=0),G76,0)</f>
        <v/>
      </c>
      <c r="H134" s="272">
        <f>IF(AND($B76="x",H91=0),H76,0)</f>
        <v/>
      </c>
      <c r="I134" s="272">
        <f>IF(AND($B76="x",I91=0),I76,0)</f>
        <v/>
      </c>
      <c r="J134" s="272">
        <f>IF(AND($B76="x",J91=0),J76,0)</f>
        <v/>
      </c>
      <c r="K134" s="272">
        <f>IF(AND($B76="x",K91=0),K76,0)</f>
        <v/>
      </c>
      <c r="L134" s="272">
        <f>IF(AND($B76="x",L91=0),L76,0)</f>
        <v/>
      </c>
      <c r="M134" s="272">
        <f>IF(AND($B76="x",M91=0),M76,0)</f>
        <v/>
      </c>
      <c r="N134" s="272">
        <f>IF(AND($B76="x",N91=0),N76,0)</f>
        <v/>
      </c>
      <c r="O134" s="272">
        <f>IF(AND($B76="x",O91=0),O76,0)</f>
        <v/>
      </c>
      <c r="P134" s="272">
        <f>IF(AND($B76="x",P91=0),P76,0)</f>
        <v/>
      </c>
      <c r="Q134" s="272">
        <f>IF(AND($B76="x",Q91=0),Q76,0)</f>
        <v/>
      </c>
      <c r="R134" s="272">
        <f>IF(AND($B76="x",R91=0),R76,0)</f>
        <v/>
      </c>
      <c r="S134" s="272">
        <f>IF(AND($B76="x",S91=0),S76,0)</f>
        <v/>
      </c>
      <c r="T134" s="272">
        <f>IF(OR($B76="x",$C76="x"),T76,0)</f>
        <v/>
      </c>
      <c r="U134" s="272">
        <f>IF(AND($B76="x",U91=0),U76,0)</f>
        <v/>
      </c>
      <c r="V134" s="272">
        <f>IF(AND($B76="x",V91=0),V76,0)</f>
        <v/>
      </c>
    </row>
    <row r="135" hidden="1" outlineLevel="1">
      <c r="A135" s="222" t="inlineStr">
        <is>
          <t>· Clenbuterol</t>
        </is>
      </c>
      <c r="G135" s="272">
        <f>IF(OR($B77="x",$C77="x"),G77,0)</f>
        <v/>
      </c>
      <c r="H135" s="272">
        <f>IF(AND($B77="x",H91=0),H77,0)</f>
        <v/>
      </c>
      <c r="I135" s="272">
        <f>IF(AND($B77="x",I91=0),I77,0)</f>
        <v/>
      </c>
      <c r="J135" s="272">
        <f>IF(AND($B77="x",J91=0),J77,0)</f>
        <v/>
      </c>
      <c r="K135" s="272">
        <f>IF(OR($B77="x",$C77="x"),K77,0)</f>
        <v/>
      </c>
      <c r="L135" s="272">
        <f>IF(AND($B77="x",L91=0),L77,0)</f>
        <v/>
      </c>
      <c r="M135" s="272">
        <f>IF(AND($B77="x",M91=0),M77,0)</f>
        <v/>
      </c>
      <c r="N135" s="272">
        <f>IF(OR($B77="x",$C77="x"),N77,0)</f>
        <v/>
      </c>
      <c r="O135" s="272">
        <f>IF(OR($B77="x",$C77="x"),O77,0)</f>
        <v/>
      </c>
      <c r="P135" s="272">
        <f>IF(AND($B77="x",P91=0),P77,0)</f>
        <v/>
      </c>
      <c r="Q135" s="272">
        <f>IF(OR($B77="x",$C77="x"),Q77,0)</f>
        <v/>
      </c>
      <c r="R135" s="272">
        <f>IF(AND($B77="x",R91=0),R77,0)</f>
        <v/>
      </c>
      <c r="S135" s="272">
        <f>IF(AND($B77="x",S91=0),S77,0)</f>
        <v/>
      </c>
      <c r="T135" s="272">
        <f>IF(AND($B77="x",T91=0),T77,0)</f>
        <v/>
      </c>
      <c r="U135" s="272">
        <f>IF(AND($B77="x",U91=0),U77,0)</f>
        <v/>
      </c>
      <c r="V135" s="272">
        <f>IF(AND($B77="x",V91=0),V77,0)</f>
        <v/>
      </c>
    </row>
    <row r="136" hidden="1" outlineLevel="1">
      <c r="A136" s="222" t="inlineStr">
        <is>
          <t>· T3 (Liothyronin)</t>
        </is>
      </c>
      <c r="G136" s="272">
        <f>IF(AND($B78="x",G91=0),G78,0)</f>
        <v/>
      </c>
      <c r="H136" s="272">
        <f>IF(AND($B78="x",H91=0),H78,0)</f>
        <v/>
      </c>
      <c r="I136" s="272">
        <f>IF(AND($B78="x",I91=0),I78,0)</f>
        <v/>
      </c>
      <c r="J136" s="272">
        <f>IF(AND($B78="x",J91=0),J78,0)</f>
        <v/>
      </c>
      <c r="K136" s="272">
        <f>IF(OR($B78="x",$C78="x"),K78,0)</f>
        <v/>
      </c>
      <c r="L136" s="272">
        <f>IF(AND($B78="x",L91=0),L78,0)</f>
        <v/>
      </c>
      <c r="M136" s="272">
        <f>IF(AND($B78="x",M91=0),M78,0)</f>
        <v/>
      </c>
      <c r="N136" s="272">
        <f>IF(OR($B78="x",$C78="x"),N78,0)</f>
        <v/>
      </c>
      <c r="O136" s="272">
        <f>IF(AND($B78="x",O91=0),O78,0)</f>
        <v/>
      </c>
      <c r="P136" s="272">
        <f>IF(AND($B78="x",P91=0),P78,0)</f>
        <v/>
      </c>
      <c r="Q136" s="272">
        <f>IF(OR($B78="x",$C78="x"),Q78,0)</f>
        <v/>
      </c>
      <c r="R136" s="272">
        <f>IF(AND($B78="x",R91=0),R78,0)</f>
        <v/>
      </c>
      <c r="S136" s="272">
        <f>IF(AND($B78="x",S91=0),S78,0)</f>
        <v/>
      </c>
      <c r="T136" s="272">
        <f>IF(AND($B78="x",T91=0),T78,0)</f>
        <v/>
      </c>
      <c r="U136" s="272">
        <f>IF(AND($B78="x",U91=0),U78,0)</f>
        <v/>
      </c>
      <c r="V136" s="272">
        <f>IF(AND($B78="x",V91=0),V78,0)</f>
        <v/>
      </c>
    </row>
    <row r="137" hidden="1" outlineLevel="1">
      <c r="A137" s="222" t="inlineStr">
        <is>
          <t>· DNP</t>
        </is>
      </c>
      <c r="G137" s="272">
        <f>IF(AND($B79="x",G91=0),G79,0)</f>
        <v/>
      </c>
      <c r="H137" s="272">
        <f>IF(AND($B79="x",H91=0),H79,0)</f>
        <v/>
      </c>
      <c r="I137" s="272">
        <f>IF(AND($B79="x",I91=0),I79,0)</f>
        <v/>
      </c>
      <c r="J137" s="272">
        <f>IF(AND($B79="x",J91=0),J79,0)</f>
        <v/>
      </c>
      <c r="K137" s="272">
        <f>IF(AND($B79="x",K91=0),K79,0)</f>
        <v/>
      </c>
      <c r="L137" s="272">
        <f>IF(AND($B79="x",L91=0),L79,0)</f>
        <v/>
      </c>
      <c r="M137" s="272">
        <f>IF(AND($B79="x",M91=0),M79,0)</f>
        <v/>
      </c>
      <c r="N137" s="272">
        <f>IF(OR($B79="x",$C79="x"),N79,0)</f>
        <v/>
      </c>
      <c r="O137" s="272">
        <f>IF(AND($B79="x",O91=0),O79,0)</f>
        <v/>
      </c>
      <c r="P137" s="272">
        <f>IF(AND($B79="x",P91=0),P79,0)</f>
        <v/>
      </c>
      <c r="Q137" s="272">
        <f>IF(OR($B79="x",$C79="x"),Q79,0)</f>
        <v/>
      </c>
      <c r="R137" s="272">
        <f>IF(OR($B79="x",$C79="x"),R79,0)</f>
        <v/>
      </c>
      <c r="S137" s="272">
        <f>IF(OR($B79="x",$C79="x"),S79,0)</f>
        <v/>
      </c>
      <c r="T137" s="272">
        <f>IF(AND($B79="x",T91=0),T79,0)</f>
        <v/>
      </c>
      <c r="U137" s="272">
        <f>IF(AND($B79="x",U91=0),U79,0)</f>
        <v/>
      </c>
      <c r="V137" s="272">
        <f>IF(AND($B79="x",V91=0),V79,0)</f>
        <v/>
      </c>
    </row>
    <row r="138" hidden="1" outlineLevel="1">
      <c r="A138" s="222" t="inlineStr">
        <is>
          <t>· Rauchen (10 Zigaretten pro Tag)</t>
        </is>
      </c>
      <c r="G138" s="272">
        <f>IF(OR($B80="x",$C80="x"),G80,0)</f>
        <v/>
      </c>
      <c r="H138" s="272">
        <f>IF(OR($B80="x",$C80="x"),H80,0)</f>
        <v/>
      </c>
      <c r="I138" s="272">
        <f>IF(OR($B80="x",$C80="x"),I80,0)</f>
        <v/>
      </c>
      <c r="J138" s="272">
        <f>IF(OR($B80="x",$C80="x"),J80,0)</f>
        <v/>
      </c>
      <c r="K138" s="272">
        <f>IF(OR($B80="x",$C80="x"),K80,0)</f>
        <v/>
      </c>
      <c r="L138" s="272">
        <f>IF(OR($B80="x",$C80="x"),L80,0)</f>
        <v/>
      </c>
      <c r="M138" s="272">
        <f>IF(OR($B80="x",$C80="x"),M80,0)</f>
        <v/>
      </c>
      <c r="N138" s="272">
        <f>IF(OR($B80="x",$C80="x"),N80,0)</f>
        <v/>
      </c>
      <c r="O138" s="272">
        <f>IF(OR($B80="x",$C80="x"),O80,0)</f>
        <v/>
      </c>
      <c r="P138" s="272">
        <f>IF(AND($B80="x",P91=0),P80,0)</f>
        <v/>
      </c>
      <c r="Q138" s="272">
        <f>IF(OR($B80="x",$C80="x"),Q80,0)</f>
        <v/>
      </c>
      <c r="R138" s="272">
        <f>IF(OR($B80="x",$C80="x"),R80,0)</f>
        <v/>
      </c>
      <c r="S138" s="272">
        <f>IF(AND($B80="x",S91=0),S80,0)</f>
        <v/>
      </c>
      <c r="T138" s="272">
        <f>IF(OR($B80="x",$C80="x"),T80,0)</f>
        <v/>
      </c>
      <c r="U138" s="272">
        <f>IF(AND($B80="x",U91=0),U80,0)</f>
        <v/>
      </c>
      <c r="V138" s="272">
        <f>IF(AND($B80="x",V91=0),V80,0)</f>
        <v/>
      </c>
    </row>
    <row r="139" hidden="1" outlineLevel="1">
      <c r="A139" s="222" t="inlineStr">
        <is>
          <t>· Alkohol (5 Bier pro Tag)</t>
        </is>
      </c>
      <c r="G139" s="272">
        <f>IF(AND($B81="x",G91=0),G81,0)</f>
        <v/>
      </c>
      <c r="H139" s="272">
        <f>IF(AND($B81="x",H91=0),H81,0)</f>
        <v/>
      </c>
      <c r="I139" s="272">
        <f>IF(AND($B81="x",I91=0),I81,0)</f>
        <v/>
      </c>
      <c r="J139" s="272">
        <f>IF(OR($B81="x",$C81="x"),J81,0)</f>
        <v/>
      </c>
      <c r="K139" s="272">
        <f>IF(OR($B81="x",$C81="x"),K81,0)</f>
        <v/>
      </c>
      <c r="L139" s="272">
        <f>IF(OR($B81="x",$C81="x"),L81,0)</f>
        <v/>
      </c>
      <c r="M139" s="272">
        <f>IF(AND($B81="x",M91=0),M81,0)</f>
        <v/>
      </c>
      <c r="N139" s="272">
        <f>IF(OR($B81="x",$C81="x"),N81,0)</f>
        <v/>
      </c>
      <c r="O139" s="272">
        <f>IF(OR($B81="x",$C81="x"),O81,0)</f>
        <v/>
      </c>
      <c r="P139" s="272">
        <f>IF(OR($B81="x",$C81="x"),P81,0)</f>
        <v/>
      </c>
      <c r="Q139" s="272">
        <f>IF(OR($B81="x",$C81="x"),Q81,0)</f>
        <v/>
      </c>
      <c r="R139" s="272">
        <f>IF(AND($B81="x",R91=0),R81,0)</f>
        <v/>
      </c>
      <c r="S139" s="272">
        <f>IF(OR($B81="x",$C81="x"),S81,0)</f>
        <v/>
      </c>
      <c r="T139" s="272">
        <f>IF(OR($B81="x",$C81="x"),T81,0)</f>
        <v/>
      </c>
      <c r="U139" s="272">
        <f>IF(AND($B81="x",U91=0),U81,0)</f>
        <v/>
      </c>
      <c r="V139" s="272">
        <f>IF(AND($B81="x",V91=0),V81,0)</f>
        <v/>
      </c>
    </row>
    <row r="140" hidden="1" outlineLevel="1">
      <c r="A140" s="222" t="inlineStr">
        <is>
          <t xml:space="preserve">  Nutzen Statin/PCSK9</t>
        </is>
      </c>
      <c r="G140" s="267">
        <f>(1-MAX(0,MAX(G98:G99)))</f>
        <v/>
      </c>
      <c r="H140" s="267">
        <f>(1-MAX(0,MAX(H98:H99)))</f>
        <v/>
      </c>
      <c r="I140" s="267">
        <f>(1-MAX(0,MAX(I98:I99)))</f>
        <v/>
      </c>
      <c r="J140" s="267">
        <f>(1-MAX(0,MAX(J98:J99)))</f>
        <v/>
      </c>
      <c r="K140" s="267">
        <f>(1-MAX(0,MAX(K98:K99)))</f>
        <v/>
      </c>
      <c r="L140" s="267">
        <f>(1-MAX(0,MAX(L98:L99)))</f>
        <v/>
      </c>
      <c r="M140" s="267">
        <f>(1-MAX(0,MAX(M98:M99)))</f>
        <v/>
      </c>
      <c r="N140" s="267">
        <f>(1-MAX(0,MAX(N98:N99)))</f>
        <v/>
      </c>
      <c r="O140" s="267">
        <f>(1-MAX(0,MAX(O98:O99)))</f>
        <v/>
      </c>
      <c r="P140" s="267">
        <f>(1-MAX(0,MAX(P98:P99)))</f>
        <v/>
      </c>
      <c r="Q140" s="267">
        <f>(1-MAX(0,MAX(Q98:Q99)))</f>
        <v/>
      </c>
      <c r="R140" s="267">
        <f>(1-MAX(0,MAX(R98:R99)))</f>
        <v/>
      </c>
      <c r="S140" s="267">
        <f>(1-MAX(0,MAX(S98:S99)))</f>
        <v/>
      </c>
      <c r="T140" s="267">
        <f>(1-MAX(0,MAX(T98:T99)))</f>
        <v/>
      </c>
      <c r="U140" s="267">
        <f>(1-MAX(0,MAX(U98:U99)))</f>
        <v/>
      </c>
      <c r="V140" s="267">
        <f>(1-MAX(0,MAX(V98:V99)))</f>
        <v/>
      </c>
    </row>
    <row r="141" hidden="1" outlineLevel="1">
      <c r="A141" s="222" t="inlineStr">
        <is>
          <t xml:space="preserve">  Nutzen Cholesterin-Resorptionshemmer</t>
        </is>
      </c>
      <c r="G141" s="267">
        <f>(1-MAX(0,MAX(G100:G100)))</f>
        <v/>
      </c>
      <c r="H141" s="267">
        <f>(1-MAX(0,MAX(H100:H100)))</f>
        <v/>
      </c>
      <c r="I141" s="267">
        <f>(1-MAX(0,MAX(I100:I100)))</f>
        <v/>
      </c>
      <c r="J141" s="267">
        <f>(1-MAX(0,MAX(J100:J100)))</f>
        <v/>
      </c>
      <c r="K141" s="267">
        <f>(1-MAX(0,MAX(K100:K100)))</f>
        <v/>
      </c>
      <c r="L141" s="267">
        <f>(1-MAX(0,MAX(L100:L100)))</f>
        <v/>
      </c>
      <c r="M141" s="267">
        <f>(1-MAX(0,MAX(M100:M100)))</f>
        <v/>
      </c>
      <c r="N141" s="267">
        <f>(1-MAX(0,MAX(N100:N100)))</f>
        <v/>
      </c>
      <c r="O141" s="267">
        <f>(1-MAX(0,MAX(O100:O100)))</f>
        <v/>
      </c>
      <c r="P141" s="267">
        <f>(1-MAX(0,MAX(P100:P100)))</f>
        <v/>
      </c>
      <c r="Q141" s="267">
        <f>(1-MAX(0,MAX(Q100:Q100)))</f>
        <v/>
      </c>
      <c r="R141" s="267">
        <f>(1-MAX(0,MAX(R100:R100)))</f>
        <v/>
      </c>
      <c r="S141" s="267">
        <f>(1-MAX(0,MAX(S100:S100)))</f>
        <v/>
      </c>
      <c r="T141" s="267">
        <f>(1-MAX(0,MAX(T100:T100)))</f>
        <v/>
      </c>
      <c r="U141" s="267">
        <f>(1-MAX(0,MAX(U100:U100)))</f>
        <v/>
      </c>
      <c r="V141" s="267">
        <f>(1-MAX(0,MAX(V100:V100)))</f>
        <v/>
      </c>
    </row>
    <row r="142" hidden="1" outlineLevel="1">
      <c r="A142" s="222" t="inlineStr">
        <is>
          <t xml:space="preserve">  Nutzen ACL-Hemmer</t>
        </is>
      </c>
      <c r="G142" s="267">
        <f>(1-MAX(0,MAX(G101:G101)))</f>
        <v/>
      </c>
      <c r="H142" s="267">
        <f>(1-MAX(0,MAX(H101:H101)))</f>
        <v/>
      </c>
      <c r="I142" s="267">
        <f>(1-MAX(0,MAX(I101:I101)))</f>
        <v/>
      </c>
      <c r="J142" s="267">
        <f>(1-MAX(0,MAX(J101:J101)))</f>
        <v/>
      </c>
      <c r="K142" s="267">
        <f>(1-MAX(0,MAX(K101:K101)))</f>
        <v/>
      </c>
      <c r="L142" s="267">
        <f>(1-MAX(0,MAX(L101:L101)))</f>
        <v/>
      </c>
      <c r="M142" s="267">
        <f>(1-MAX(0,MAX(M101:M101)))</f>
        <v/>
      </c>
      <c r="N142" s="267">
        <f>(1-MAX(0,MAX(N101:N101)))</f>
        <v/>
      </c>
      <c r="O142" s="267">
        <f>(1-MAX(0,MAX(O101:O101)))</f>
        <v/>
      </c>
      <c r="P142" s="267">
        <f>(1-MAX(0,MAX(P101:P101)))</f>
        <v/>
      </c>
      <c r="Q142" s="267">
        <f>(1-MAX(0,MAX(Q101:Q101)))</f>
        <v/>
      </c>
      <c r="R142" s="267">
        <f>(1-MAX(0,MAX(R101:R101)))</f>
        <v/>
      </c>
      <c r="S142" s="267">
        <f>(1-MAX(0,MAX(S101:S101)))</f>
        <v/>
      </c>
      <c r="T142" s="267">
        <f>(1-MAX(0,MAX(T101:T101)))</f>
        <v/>
      </c>
      <c r="U142" s="267">
        <f>(1-MAX(0,MAX(U101:U101)))</f>
        <v/>
      </c>
      <c r="V142" s="267">
        <f>(1-MAX(0,MAX(V101:V101)))</f>
        <v/>
      </c>
    </row>
    <row r="143" hidden="1" outlineLevel="1">
      <c r="A143" s="222" t="inlineStr">
        <is>
          <t xml:space="preserve">  Nutzen RAAS-Blocker</t>
        </is>
      </c>
      <c r="G143" s="267">
        <f>(1-MAX(0,MAX(G102:G103)))</f>
        <v/>
      </c>
      <c r="H143" s="267">
        <f>(1-MAX(0,MAX(H102:H103)))</f>
        <v/>
      </c>
      <c r="I143" s="267">
        <f>(1-MAX(0,MAX(I102:I103)))</f>
        <v/>
      </c>
      <c r="J143" s="267">
        <f>(1-MAX(0,MAX(J102:J103)))</f>
        <v/>
      </c>
      <c r="K143" s="267">
        <f>(1-MAX(0,MAX(K102:K103)))</f>
        <v/>
      </c>
      <c r="L143" s="267">
        <f>(1-MAX(0,MAX(L102:L103)))</f>
        <v/>
      </c>
      <c r="M143" s="267">
        <f>(1-MAX(0,MAX(M102:M103)))</f>
        <v/>
      </c>
      <c r="N143" s="267">
        <f>(1-MAX(0,MAX(N102:N103)))</f>
        <v/>
      </c>
      <c r="O143" s="267">
        <f>(1-MAX(0,MAX(O102:O103)))</f>
        <v/>
      </c>
      <c r="P143" s="267">
        <f>(1-MAX(0,MAX(P102:P103)))</f>
        <v/>
      </c>
      <c r="Q143" s="267">
        <f>(1-MAX(0,MAX(Q102:Q103)))</f>
        <v/>
      </c>
      <c r="R143" s="267">
        <f>(1-MAX(0,MAX(R102:R103)))</f>
        <v/>
      </c>
      <c r="S143" s="267">
        <f>(1-MAX(0,MAX(S102:S103)))</f>
        <v/>
      </c>
      <c r="T143" s="267">
        <f>(1-MAX(0,MAX(T102:T103)))</f>
        <v/>
      </c>
      <c r="U143" s="267">
        <f>(1-MAX(0,MAX(U102:U103)))</f>
        <v/>
      </c>
      <c r="V143" s="267">
        <f>(1-MAX(0,MAX(V102:V103)))</f>
        <v/>
      </c>
    </row>
    <row r="144" hidden="1" outlineLevel="1">
      <c r="A144" s="222" t="inlineStr">
        <is>
          <t xml:space="preserve">  Nutzen Calciumantagonist</t>
        </is>
      </c>
      <c r="G144" s="267">
        <f>(1-MAX(0,MAX(G104:G104)))</f>
        <v/>
      </c>
      <c r="H144" s="267">
        <f>(1-MAX(0,MAX(H104:H104)))</f>
        <v/>
      </c>
      <c r="I144" s="267">
        <f>(1-MAX(0,MAX(I104:I104)))</f>
        <v/>
      </c>
      <c r="J144" s="267">
        <f>(1-MAX(0,MAX(J104:J104)))</f>
        <v/>
      </c>
      <c r="K144" s="267">
        <f>(1-MAX(0,MAX(K104:K104)))</f>
        <v/>
      </c>
      <c r="L144" s="267">
        <f>(1-MAX(0,MAX(L104:L104)))</f>
        <v/>
      </c>
      <c r="M144" s="267">
        <f>(1-MAX(0,MAX(M104:M104)))</f>
        <v/>
      </c>
      <c r="N144" s="267">
        <f>(1-MAX(0,MAX(N104:N104)))</f>
        <v/>
      </c>
      <c r="O144" s="267">
        <f>(1-MAX(0,MAX(O104:O104)))</f>
        <v/>
      </c>
      <c r="P144" s="267">
        <f>(1-MAX(0,MAX(P104:P104)))</f>
        <v/>
      </c>
      <c r="Q144" s="267">
        <f>(1-MAX(0,MAX(Q104:Q104)))</f>
        <v/>
      </c>
      <c r="R144" s="267">
        <f>(1-MAX(0,MAX(R104:R104)))</f>
        <v/>
      </c>
      <c r="S144" s="267">
        <f>(1-MAX(0,MAX(S104:S104)))</f>
        <v/>
      </c>
      <c r="T144" s="267">
        <f>(1-MAX(0,MAX(T104:T104)))</f>
        <v/>
      </c>
      <c r="U144" s="267">
        <f>(1-MAX(0,MAX(U104:U104)))</f>
        <v/>
      </c>
      <c r="V144" s="267">
        <f>(1-MAX(0,MAX(V104:V104)))</f>
        <v/>
      </c>
    </row>
    <row r="145" hidden="1" outlineLevel="1">
      <c r="A145" s="222" t="inlineStr">
        <is>
          <t xml:space="preserve">  Nutzen Betablocker</t>
        </is>
      </c>
      <c r="G145" s="267">
        <f>(1-MAX(0,MAX(G105:G105)))</f>
        <v/>
      </c>
      <c r="H145" s="267">
        <f>(1-MAX(0,MAX(H105:H105)))</f>
        <v/>
      </c>
      <c r="I145" s="267">
        <f>(1-MAX(0,MAX(I105:I105)))</f>
        <v/>
      </c>
      <c r="J145" s="267">
        <f>(1-MAX(0,MAX(J105:J105)))</f>
        <v/>
      </c>
      <c r="K145" s="267">
        <f>(1-MAX(0,MAX(K105:K105)))</f>
        <v/>
      </c>
      <c r="L145" s="267">
        <f>(1-MAX(0,MAX(L105:L105)))</f>
        <v/>
      </c>
      <c r="M145" s="267">
        <f>(1-MAX(0,MAX(M105:M105)))</f>
        <v/>
      </c>
      <c r="N145" s="267">
        <f>(1-MAX(0,MAX(N105:N105)))</f>
        <v/>
      </c>
      <c r="O145" s="267">
        <f>(1-MAX(0,MAX(O105:O105)))</f>
        <v/>
      </c>
      <c r="P145" s="267">
        <f>(1-MAX(0,MAX(P105:P105)))</f>
        <v/>
      </c>
      <c r="Q145" s="267">
        <f>(1-MAX(0,MAX(Q105:Q105)))</f>
        <v/>
      </c>
      <c r="R145" s="267">
        <f>(1-MAX(0,MAX(R105:R105)))</f>
        <v/>
      </c>
      <c r="S145" s="267">
        <f>(1-MAX(0,MAX(S105:S105)))</f>
        <v/>
      </c>
      <c r="T145" s="267">
        <f>(1-MAX(0,MAX(T105:T105)))</f>
        <v/>
      </c>
      <c r="U145" s="267">
        <f>(1-MAX(0,MAX(U105:U105)))</f>
        <v/>
      </c>
      <c r="V145" s="267">
        <f>(1-MAX(0,MAX(V105:V105)))</f>
        <v/>
      </c>
    </row>
    <row r="146" hidden="1" outlineLevel="1">
      <c r="A146" s="222" t="inlineStr">
        <is>
          <t xml:space="preserve">  Nutzen PDE5-Hemmer</t>
        </is>
      </c>
      <c r="G146" s="267">
        <f>(1-MAX(0,MAX(G106:G106)))</f>
        <v/>
      </c>
      <c r="H146" s="267">
        <f>(1-MAX(0,MAX(H106:H106)))</f>
        <v/>
      </c>
      <c r="I146" s="267">
        <f>(1-MAX(0,MAX(I106:I106)))</f>
        <v/>
      </c>
      <c r="J146" s="267">
        <f>(1-MAX(0,MAX(J106:J106)))</f>
        <v/>
      </c>
      <c r="K146" s="267">
        <f>(1-MAX(0,MAX(K106:K106)))</f>
        <v/>
      </c>
      <c r="L146" s="267">
        <f>(1-MAX(0,MAX(L106:L106)))</f>
        <v/>
      </c>
      <c r="M146" s="267">
        <f>(1-MAX(0,MAX(M106:M106)))</f>
        <v/>
      </c>
      <c r="N146" s="267">
        <f>(1-MAX(0,MAX(N106:N106)))</f>
        <v/>
      </c>
      <c r="O146" s="267">
        <f>(1-MAX(0,MAX(O106:O106)))</f>
        <v/>
      </c>
      <c r="P146" s="267">
        <f>(1-MAX(0,MAX(P106:P106)))</f>
        <v/>
      </c>
      <c r="Q146" s="267">
        <f>(1-MAX(0,MAX(Q106:Q106)))</f>
        <v/>
      </c>
      <c r="R146" s="267">
        <f>(1-MAX(0,MAX(R106:R106)))</f>
        <v/>
      </c>
      <c r="S146" s="267">
        <f>(1-MAX(0,MAX(S106:S106)))</f>
        <v/>
      </c>
      <c r="T146" s="267">
        <f>(1-MAX(0,MAX(T106:T106)))</f>
        <v/>
      </c>
      <c r="U146" s="267">
        <f>(1-MAX(0,MAX(U106:U106)))</f>
        <v/>
      </c>
      <c r="V146" s="267">
        <f>(1-MAX(0,MAX(V106:V106)))</f>
        <v/>
      </c>
    </row>
    <row r="147" hidden="1" outlineLevel="1">
      <c r="A147" s="222" t="inlineStr">
        <is>
          <t xml:space="preserve">  Nutzen Aderlass</t>
        </is>
      </c>
      <c r="G147" s="267">
        <f>(1-MAX(0,MAX(G107:G107)))</f>
        <v/>
      </c>
      <c r="H147" s="267">
        <f>(1-MAX(0,MAX(H107:H107)))</f>
        <v/>
      </c>
      <c r="I147" s="267">
        <f>(1-MAX(0,MAX(I107:I107)))</f>
        <v/>
      </c>
      <c r="J147" s="267">
        <f>(1-MAX(0,MAX(J107:J107)))</f>
        <v/>
      </c>
      <c r="K147" s="267">
        <f>(1-MAX(0,MAX(K107:K107)))</f>
        <v/>
      </c>
      <c r="L147" s="267">
        <f>(1-MAX(0,MAX(L107:L107)))</f>
        <v/>
      </c>
      <c r="M147" s="267">
        <f>(1-MAX(0,MAX(M107:M107)))</f>
        <v/>
      </c>
      <c r="N147" s="267">
        <f>(1-MAX(0,MAX(N107:N107)))</f>
        <v/>
      </c>
      <c r="O147" s="267">
        <f>(1-MAX(0,MAX(O107:O107)))</f>
        <v/>
      </c>
      <c r="P147" s="267">
        <f>(1-MAX(0,MAX(P107:P107)))</f>
        <v/>
      </c>
      <c r="Q147" s="267">
        <f>(1-MAX(0,MAX(Q107:Q107)))</f>
        <v/>
      </c>
      <c r="R147" s="267">
        <f>(1-MAX(0,MAX(R107:R107)))</f>
        <v/>
      </c>
      <c r="S147" s="267">
        <f>(1-MAX(0,MAX(S107:S107)))</f>
        <v/>
      </c>
      <c r="T147" s="267">
        <f>(1-MAX(0,MAX(T107:T107)))</f>
        <v/>
      </c>
      <c r="U147" s="267">
        <f>(1-MAX(0,MAX(U107:U107)))</f>
        <v/>
      </c>
      <c r="V147" s="267">
        <f>(1-MAX(0,MAX(V107:V107)))</f>
        <v/>
      </c>
    </row>
    <row r="148" hidden="1" outlineLevel="1">
      <c r="A148" s="222" t="inlineStr">
        <is>
          <t xml:space="preserve">  Nutzen SGLT2</t>
        </is>
      </c>
      <c r="G148" s="267">
        <f>(1-MAX(0,MAX(G108:G108)))</f>
        <v/>
      </c>
      <c r="H148" s="267">
        <f>(1-MAX(0,MAX(H108:H108)))</f>
        <v/>
      </c>
      <c r="I148" s="267">
        <f>(1-MAX(0,MAX(I108:I108)))</f>
        <v/>
      </c>
      <c r="J148" s="267">
        <f>(1-MAX(0,MAX(J108:J108)))</f>
        <v/>
      </c>
      <c r="K148" s="267">
        <f>(1-MAX(0,MAX(K108:K108)))</f>
        <v/>
      </c>
      <c r="L148" s="267">
        <f>(1-MAX(0,MAX(L108:L108)))</f>
        <v/>
      </c>
      <c r="M148" s="267">
        <f>(1-MAX(0,MAX(M108:M108)))</f>
        <v/>
      </c>
      <c r="N148" s="267">
        <f>(1-MAX(0,MAX(N108:N108)))</f>
        <v/>
      </c>
      <c r="O148" s="267">
        <f>(1-MAX(0,MAX(O108:O108)))</f>
        <v/>
      </c>
      <c r="P148" s="267">
        <f>(1-MAX(0,MAX(P108:P108)))</f>
        <v/>
      </c>
      <c r="Q148" s="267">
        <f>(1-MAX(0,MAX(Q108:Q108)))</f>
        <v/>
      </c>
      <c r="R148" s="267">
        <f>(1-MAX(0,MAX(R108:R108)))</f>
        <v/>
      </c>
      <c r="S148" s="267">
        <f>(1-MAX(0,MAX(S108:S108)))</f>
        <v/>
      </c>
      <c r="T148" s="267">
        <f>(1-MAX(0,MAX(T108:T108)))</f>
        <v/>
      </c>
      <c r="U148" s="267">
        <f>(1-MAX(0,MAX(U108:U108)))</f>
        <v/>
      </c>
      <c r="V148" s="267">
        <f>(1-MAX(0,MAX(V108:V108)))</f>
        <v/>
      </c>
    </row>
    <row r="149" hidden="1" outlineLevel="1">
      <c r="A149" s="222" t="inlineStr">
        <is>
          <t xml:space="preserve">  Nutzen Inkretin</t>
        </is>
      </c>
      <c r="G149" s="267">
        <f>(1-MAX(0,MAX(G109:G109)))</f>
        <v/>
      </c>
      <c r="H149" s="267">
        <f>(1-MAX(0,MAX(H109:H109)))</f>
        <v/>
      </c>
      <c r="I149" s="267">
        <f>(1-MAX(0,MAX(I109:I109)))</f>
        <v/>
      </c>
      <c r="J149" s="267">
        <f>(1-MAX(0,MAX(J109:J109)))</f>
        <v/>
      </c>
      <c r="K149" s="267">
        <f>(1-MAX(0,MAX(K109:K109)))</f>
        <v/>
      </c>
      <c r="L149" s="267">
        <f>(1-MAX(0,MAX(L109:L109)))</f>
        <v/>
      </c>
      <c r="M149" s="267">
        <f>(1-MAX(0,MAX(M109:M109)))</f>
        <v/>
      </c>
      <c r="N149" s="267">
        <f>(1-MAX(0,MAX(N109:N109)))</f>
        <v/>
      </c>
      <c r="O149" s="267">
        <f>(1-MAX(0,MAX(O109:O109)))</f>
        <v/>
      </c>
      <c r="P149" s="267">
        <f>(1-MAX(0,MAX(P109:P109)))</f>
        <v/>
      </c>
      <c r="Q149" s="267">
        <f>(1-MAX(0,MAX(Q109:Q109)))</f>
        <v/>
      </c>
      <c r="R149" s="267">
        <f>(1-MAX(0,MAX(R109:R109)))</f>
        <v/>
      </c>
      <c r="S149" s="267">
        <f>(1-MAX(0,MAX(S109:S109)))</f>
        <v/>
      </c>
      <c r="T149" s="267">
        <f>(1-MAX(0,MAX(T109:T109)))</f>
        <v/>
      </c>
      <c r="U149" s="267">
        <f>(1-MAX(0,MAX(U109:U109)))</f>
        <v/>
      </c>
      <c r="V149" s="267">
        <f>(1-MAX(0,MAX(V109:V109)))</f>
        <v/>
      </c>
    </row>
    <row r="150" hidden="1" outlineLevel="1">
      <c r="A150" s="222" t="inlineStr">
        <is>
          <t xml:space="preserve">  Nutzen Insulinsensitizer</t>
        </is>
      </c>
      <c r="G150" s="267">
        <f>(1-MAX(0,MAX(G110:G110)))</f>
        <v/>
      </c>
      <c r="H150" s="267">
        <f>(1-MAX(0,MAX(H110:H110)))</f>
        <v/>
      </c>
      <c r="I150" s="267">
        <f>(1-MAX(0,MAX(I110:I110)))</f>
        <v/>
      </c>
      <c r="J150" s="267">
        <f>(1-MAX(0,MAX(J110:J110)))</f>
        <v/>
      </c>
      <c r="K150" s="267">
        <f>(1-MAX(0,MAX(K110:K110)))</f>
        <v/>
      </c>
      <c r="L150" s="267">
        <f>(1-MAX(0,MAX(L110:L110)))</f>
        <v/>
      </c>
      <c r="M150" s="267">
        <f>(1-MAX(0,MAX(M110:M110)))</f>
        <v/>
      </c>
      <c r="N150" s="267">
        <f>(1-MAX(0,MAX(N110:N110)))</f>
        <v/>
      </c>
      <c r="O150" s="267">
        <f>(1-MAX(0,MAX(O110:O110)))</f>
        <v/>
      </c>
      <c r="P150" s="267">
        <f>(1-MAX(0,MAX(P110:P110)))</f>
        <v/>
      </c>
      <c r="Q150" s="267">
        <f>(1-MAX(0,MAX(Q110:Q110)))</f>
        <v/>
      </c>
      <c r="R150" s="267">
        <f>(1-MAX(0,MAX(R110:R110)))</f>
        <v/>
      </c>
      <c r="S150" s="267">
        <f>(1-MAX(0,MAX(S110:S110)))</f>
        <v/>
      </c>
      <c r="T150" s="267">
        <f>(1-MAX(0,MAX(T110:T110)))</f>
        <v/>
      </c>
      <c r="U150" s="267">
        <f>(1-MAX(0,MAX(U110:U110)))</f>
        <v/>
      </c>
      <c r="V150" s="267">
        <f>(1-MAX(0,MAX(V110:V110)))</f>
        <v/>
      </c>
    </row>
    <row r="151" hidden="1" outlineLevel="1">
      <c r="A151" s="222" t="inlineStr">
        <is>
          <t xml:space="preserve">  Nutzen Omega-3</t>
        </is>
      </c>
      <c r="G151" s="267">
        <f>(1-MAX(0,MAX(G111:G111)))</f>
        <v/>
      </c>
      <c r="H151" s="267">
        <f>(1-MAX(0,MAX(H111:H111)))</f>
        <v/>
      </c>
      <c r="I151" s="267">
        <f>(1-MAX(0,MAX(I111:I111)))</f>
        <v/>
      </c>
      <c r="J151" s="267">
        <f>(1-MAX(0,MAX(J111:J111)))</f>
        <v/>
      </c>
      <c r="K151" s="267">
        <f>(1-MAX(0,MAX(K111:K111)))</f>
        <v/>
      </c>
      <c r="L151" s="267">
        <f>(1-MAX(0,MAX(L111:L111)))</f>
        <v/>
      </c>
      <c r="M151" s="267">
        <f>(1-MAX(0,MAX(M111:M111)))</f>
        <v/>
      </c>
      <c r="N151" s="267">
        <f>(1-MAX(0,MAX(N111:N111)))</f>
        <v/>
      </c>
      <c r="O151" s="267">
        <f>(1-MAX(0,MAX(O111:O111)))</f>
        <v/>
      </c>
      <c r="P151" s="267">
        <f>(1-MAX(0,MAX(P111:P111)))</f>
        <v/>
      </c>
      <c r="Q151" s="267">
        <f>(1-MAX(0,MAX(Q111:Q111)))</f>
        <v/>
      </c>
      <c r="R151" s="267">
        <f>(1-MAX(0,MAX(R111:R111)))</f>
        <v/>
      </c>
      <c r="S151" s="267">
        <f>(1-MAX(0,MAX(S111:S111)))</f>
        <v/>
      </c>
      <c r="T151" s="267">
        <f>(1-MAX(0,MAX(T111:T111)))</f>
        <v/>
      </c>
      <c r="U151" s="267">
        <f>(1-MAX(0,MAX(U111:U111)))</f>
        <v/>
      </c>
      <c r="V151" s="267">
        <f>(1-MAX(0,MAX(V111:V111)))</f>
        <v/>
      </c>
    </row>
    <row r="152" hidden="1" outlineLevel="1">
      <c r="A152" s="222" t="inlineStr">
        <is>
          <t xml:space="preserve">  Nutzen OTC-Stack</t>
        </is>
      </c>
      <c r="G152" s="267">
        <f>(1-MAX(0,MAX(G112:G112)))</f>
        <v/>
      </c>
      <c r="H152" s="267">
        <f>(1-MAX(0,MAX(H112:H112)))</f>
        <v/>
      </c>
      <c r="I152" s="267">
        <f>(1-MAX(0,MAX(I112:I112)))</f>
        <v/>
      </c>
      <c r="J152" s="267">
        <f>(1-MAX(0,MAX(J112:J112)))</f>
        <v/>
      </c>
      <c r="K152" s="267">
        <f>(1-MAX(0,MAX(K112:K112)))</f>
        <v/>
      </c>
      <c r="L152" s="267">
        <f>(1-MAX(0,MAX(L112:L112)))</f>
        <v/>
      </c>
      <c r="M152" s="267">
        <f>(1-MAX(0,MAX(M112:M112)))</f>
        <v/>
      </c>
      <c r="N152" s="267">
        <f>(1-MAX(0,MAX(N112:N112)))</f>
        <v/>
      </c>
      <c r="O152" s="267">
        <f>(1-MAX(0,MAX(O112:O112)))</f>
        <v/>
      </c>
      <c r="P152" s="267">
        <f>(1-MAX(0,MAX(P112:P112)))</f>
        <v/>
      </c>
      <c r="Q152" s="267">
        <f>(1-MAX(0,MAX(Q112:Q112)))</f>
        <v/>
      </c>
      <c r="R152" s="267">
        <f>(1-MAX(0,MAX(R112:R112)))</f>
        <v/>
      </c>
      <c r="S152" s="267">
        <f>(1-MAX(0,MAX(S112:S112)))</f>
        <v/>
      </c>
      <c r="T152" s="267">
        <f>(1-MAX(0,MAX(T112:T112)))</f>
        <v/>
      </c>
      <c r="U152" s="267">
        <f>(1-MAX(0,MAX(U112:U112)))</f>
        <v/>
      </c>
      <c r="V152" s="267">
        <f>(1-MAX(0,MAX(V112:V112)))</f>
        <v/>
      </c>
    </row>
    <row r="153" hidden="1" outlineLevel="1">
      <c r="A153" s="222" t="inlineStr">
        <is>
          <t xml:space="preserve">  Nutzen Leber-Supplement</t>
        </is>
      </c>
      <c r="G153" s="267">
        <f>(1-MAX(0,MAX(G113:G113)))</f>
        <v/>
      </c>
      <c r="H153" s="267">
        <f>(1-MAX(0,MAX(H113:H113)))</f>
        <v/>
      </c>
      <c r="I153" s="267">
        <f>(1-MAX(0,MAX(I113:I113)))</f>
        <v/>
      </c>
      <c r="J153" s="267">
        <f>(1-MAX(0,MAX(J113:J113)))</f>
        <v/>
      </c>
      <c r="K153" s="267">
        <f>(1-MAX(0,MAX(K113:K113)))</f>
        <v/>
      </c>
      <c r="L153" s="267">
        <f>(1-MAX(0,MAX(L113:L113)))</f>
        <v/>
      </c>
      <c r="M153" s="267">
        <f>(1-MAX(0,MAX(M113:M113)))</f>
        <v/>
      </c>
      <c r="N153" s="267">
        <f>(1-MAX(0,MAX(N113:N113)))</f>
        <v/>
      </c>
      <c r="O153" s="267">
        <f>(1-MAX(0,MAX(O113:O113)))</f>
        <v/>
      </c>
      <c r="P153" s="267">
        <f>(1-MAX(0,MAX(P113:P113)))</f>
        <v/>
      </c>
      <c r="Q153" s="267">
        <f>(1-MAX(0,MAX(Q113:Q113)))</f>
        <v/>
      </c>
      <c r="R153" s="267">
        <f>(1-MAX(0,MAX(R113:R113)))</f>
        <v/>
      </c>
      <c r="S153" s="267">
        <f>(1-MAX(0,MAX(S113:S113)))</f>
        <v/>
      </c>
      <c r="T153" s="267">
        <f>(1-MAX(0,MAX(T113:T113)))</f>
        <v/>
      </c>
      <c r="U153" s="267">
        <f>(1-MAX(0,MAX(U113:U113)))</f>
        <v/>
      </c>
      <c r="V153" s="267">
        <f>(1-MAX(0,MAX(V113:V113)))</f>
        <v/>
      </c>
    </row>
    <row r="154" hidden="1" outlineLevel="1">
      <c r="A154" s="222" t="inlineStr">
        <is>
          <t xml:space="preserve">  Nutzen Lifestyle</t>
        </is>
      </c>
      <c r="G154" s="267">
        <f>(1-MAX(0,MAX(G114:G114)))</f>
        <v/>
      </c>
      <c r="H154" s="267">
        <f>(1-MAX(0,MAX(H114:H114)))</f>
        <v/>
      </c>
      <c r="I154" s="267">
        <f>(1-MAX(0,MAX(I114:I114)))</f>
        <v/>
      </c>
      <c r="J154" s="267">
        <f>(1-MAX(0,MAX(J114:J114)))</f>
        <v/>
      </c>
      <c r="K154" s="267">
        <f>(1-MAX(0,MAX(K114:K114)))</f>
        <v/>
      </c>
      <c r="L154" s="267">
        <f>(1-MAX(0,MAX(L114:L114)))</f>
        <v/>
      </c>
      <c r="M154" s="267">
        <f>(1-MAX(0,MAX(M114:M114)))</f>
        <v/>
      </c>
      <c r="N154" s="267">
        <f>(1-MAX(0,MAX(N114:N114)))</f>
        <v/>
      </c>
      <c r="O154" s="267">
        <f>(1-MAX(0,MAX(O114:O114)))</f>
        <v/>
      </c>
      <c r="P154" s="267">
        <f>(1-MAX(0,MAX(P114:P114)))</f>
        <v/>
      </c>
      <c r="Q154" s="267">
        <f>(1-MAX(0,MAX(Q114:Q114)))</f>
        <v/>
      </c>
      <c r="R154" s="267">
        <f>(1-MAX(0,MAX(R114:R114)))</f>
        <v/>
      </c>
      <c r="S154" s="267">
        <f>(1-MAX(0,MAX(S114:S114)))</f>
        <v/>
      </c>
      <c r="T154" s="267">
        <f>(1-MAX(0,MAX(T114:T114)))</f>
        <v/>
      </c>
      <c r="U154" s="267">
        <f>(1-MAX(0,MAX(U114:U114)))</f>
        <v/>
      </c>
      <c r="V154" s="267">
        <f>(1-MAX(0,MAX(V114:V114)))</f>
        <v/>
      </c>
    </row>
    <row r="155" hidden="1" outlineLevel="1">
      <c r="A155" s="222" t="inlineStr">
        <is>
          <t xml:space="preserve">  Nutzen Ernaehrung</t>
        </is>
      </c>
      <c r="G155" s="267">
        <f>(1-MAX(0,MAX(G115:G115)))</f>
        <v/>
      </c>
      <c r="H155" s="267">
        <f>(1-MAX(0,MAX(H115:H115)))</f>
        <v/>
      </c>
      <c r="I155" s="267">
        <f>(1-MAX(0,MAX(I115:I115)))</f>
        <v/>
      </c>
      <c r="J155" s="267">
        <f>(1-MAX(0,MAX(J115:J115)))</f>
        <v/>
      </c>
      <c r="K155" s="267">
        <f>(1-MAX(0,MAX(K115:K115)))</f>
        <v/>
      </c>
      <c r="L155" s="267">
        <f>(1-MAX(0,MAX(L115:L115)))</f>
        <v/>
      </c>
      <c r="M155" s="267">
        <f>(1-MAX(0,MAX(M115:M115)))</f>
        <v/>
      </c>
      <c r="N155" s="267">
        <f>(1-MAX(0,MAX(N115:N115)))</f>
        <v/>
      </c>
      <c r="O155" s="267">
        <f>(1-MAX(0,MAX(O115:O115)))</f>
        <v/>
      </c>
      <c r="P155" s="267">
        <f>(1-MAX(0,MAX(P115:P115)))</f>
        <v/>
      </c>
      <c r="Q155" s="267">
        <f>(1-MAX(0,MAX(Q115:Q115)))</f>
        <v/>
      </c>
      <c r="R155" s="267">
        <f>(1-MAX(0,MAX(R115:R115)))</f>
        <v/>
      </c>
      <c r="S155" s="267">
        <f>(1-MAX(0,MAX(S115:S115)))</f>
        <v/>
      </c>
      <c r="T155" s="267">
        <f>(1-MAX(0,MAX(T115:T115)))</f>
        <v/>
      </c>
      <c r="U155" s="267">
        <f>(1-MAX(0,MAX(U115:U115)))</f>
        <v/>
      </c>
      <c r="V155" s="267">
        <f>(1-MAX(0,MAX(V115:V115)))</f>
        <v/>
      </c>
    </row>
    <row r="156" hidden="1" outlineLevel="1">
      <c r="A156" s="222" t="inlineStr">
        <is>
          <t xml:space="preserve">  Nutzen Aromatasehemmer</t>
        </is>
      </c>
      <c r="G156" s="267">
        <f>(1-MAX(0,MAX(G116:G116)))</f>
        <v/>
      </c>
      <c r="H156" s="267">
        <f>(1-MAX(0,MAX(H116:H116)))</f>
        <v/>
      </c>
      <c r="I156" s="267">
        <f>(1-MAX(0,MAX(I116:I116)))</f>
        <v/>
      </c>
      <c r="J156" s="267">
        <f>(1-MAX(0,MAX(J116:J116)))</f>
        <v/>
      </c>
      <c r="K156" s="267">
        <f>(1-MAX(0,MAX(K116:K116)))</f>
        <v/>
      </c>
      <c r="L156" s="267">
        <f>(1-MAX(0,MAX(L116:L116)))</f>
        <v/>
      </c>
      <c r="M156" s="267">
        <f>(1-MAX(0,MAX(M116:M116)))</f>
        <v/>
      </c>
      <c r="N156" s="267">
        <f>(1-MAX(0,MAX(N116:N116)))</f>
        <v/>
      </c>
      <c r="O156" s="267">
        <f>(1-MAX(0,MAX(O116:O116)))</f>
        <v/>
      </c>
      <c r="P156" s="267">
        <f>(1-MAX(0,MAX(P116:P116)))</f>
        <v/>
      </c>
      <c r="Q156" s="267">
        <f>(1-MAX(0,MAX(Q116:Q116)))</f>
        <v/>
      </c>
      <c r="R156" s="267">
        <f>(1-MAX(0,MAX(R116:R116)))</f>
        <v/>
      </c>
      <c r="S156" s="267">
        <f>(1-MAX(0,MAX(S116:S116)))</f>
        <v/>
      </c>
      <c r="T156" s="267">
        <f>(1-MAX(0,MAX(T116:T116)))</f>
        <v/>
      </c>
      <c r="U156" s="267">
        <f>(1-MAX(0,MAX(U116:U116)))</f>
        <v/>
      </c>
      <c r="V156" s="267">
        <f>(1-MAX(0,MAX(V116:V116)))</f>
        <v/>
      </c>
    </row>
    <row r="157" hidden="1" outlineLevel="1">
      <c r="A157" s="222" t="inlineStr">
        <is>
          <t xml:space="preserve">  Nutzen 5AR-Hemmer</t>
        </is>
      </c>
      <c r="G157" s="267">
        <f>(1-MAX(0,MAX(G117:G117)))</f>
        <v/>
      </c>
      <c r="H157" s="267">
        <f>(1-MAX(0,MAX(H117:H117)))</f>
        <v/>
      </c>
      <c r="I157" s="267">
        <f>(1-MAX(0,MAX(I117:I117)))</f>
        <v/>
      </c>
      <c r="J157" s="267">
        <f>(1-MAX(0,MAX(J117:J117)))</f>
        <v/>
      </c>
      <c r="K157" s="267">
        <f>(1-MAX(0,MAX(K117:K117)))</f>
        <v/>
      </c>
      <c r="L157" s="267">
        <f>(1-MAX(0,MAX(L117:L117)))</f>
        <v/>
      </c>
      <c r="M157" s="267">
        <f>(1-MAX(0,MAX(M117:M117)))</f>
        <v/>
      </c>
      <c r="N157" s="267">
        <f>(1-MAX(0,MAX(N117:N117)))</f>
        <v/>
      </c>
      <c r="O157" s="267">
        <f>(1-MAX(0,MAX(O117:O117)))</f>
        <v/>
      </c>
      <c r="P157" s="267">
        <f>(1-MAX(0,MAX(P117:P117)))</f>
        <v/>
      </c>
      <c r="Q157" s="267">
        <f>(1-MAX(0,MAX(Q117:Q117)))</f>
        <v/>
      </c>
      <c r="R157" s="267">
        <f>(1-MAX(0,MAX(R117:R117)))</f>
        <v/>
      </c>
      <c r="S157" s="267">
        <f>(1-MAX(0,MAX(S117:S117)))</f>
        <v/>
      </c>
      <c r="T157" s="267">
        <f>(1-MAX(0,MAX(T117:T117)))</f>
        <v/>
      </c>
      <c r="U157" s="267">
        <f>(1-MAX(0,MAX(U117:U117)))</f>
        <v/>
      </c>
      <c r="V157" s="267">
        <f>(1-MAX(0,MAX(V117:V117)))</f>
        <v/>
      </c>
    </row>
    <row r="158" hidden="1" outlineLevel="1">
      <c r="A158" s="222" t="inlineStr">
        <is>
          <t xml:space="preserve">  Nutzen Thrombozytenhemmer</t>
        </is>
      </c>
      <c r="G158" s="267">
        <f>(1-MAX(0,MAX(G118:G118)))</f>
        <v/>
      </c>
      <c r="H158" s="267">
        <f>(1-MAX(0,MAX(H118:H118)))</f>
        <v/>
      </c>
      <c r="I158" s="267">
        <f>(1-MAX(0,MAX(I118:I118)))</f>
        <v/>
      </c>
      <c r="J158" s="267">
        <f>(1-MAX(0,MAX(J118:J118)))</f>
        <v/>
      </c>
      <c r="K158" s="267">
        <f>(1-MAX(0,MAX(K118:K118)))</f>
        <v/>
      </c>
      <c r="L158" s="267">
        <f>(1-MAX(0,MAX(L118:L118)))</f>
        <v/>
      </c>
      <c r="M158" s="267">
        <f>(1-MAX(0,MAX(M118:M118)))</f>
        <v/>
      </c>
      <c r="N158" s="267">
        <f>(1-MAX(0,MAX(N118:N118)))</f>
        <v/>
      </c>
      <c r="O158" s="267">
        <f>(1-MAX(0,MAX(O118:O118)))</f>
        <v/>
      </c>
      <c r="P158" s="267">
        <f>(1-MAX(0,MAX(P118:P118)))</f>
        <v/>
      </c>
      <c r="Q158" s="267">
        <f>(1-MAX(0,MAX(Q118:Q118)))</f>
        <v/>
      </c>
      <c r="R158" s="267">
        <f>(1-MAX(0,MAX(R118:R118)))</f>
        <v/>
      </c>
      <c r="S158" s="267">
        <f>(1-MAX(0,MAX(S118:S118)))</f>
        <v/>
      </c>
      <c r="T158" s="267">
        <f>(1-MAX(0,MAX(T118:T118)))</f>
        <v/>
      </c>
      <c r="U158" s="267">
        <f>(1-MAX(0,MAX(U118:U118)))</f>
        <v/>
      </c>
      <c r="V158" s="267">
        <f>(1-MAX(0,MAX(V118:V118)))</f>
        <v/>
      </c>
    </row>
    <row r="159" hidden="1" outlineLevel="1">
      <c r="A159" s="222" t="inlineStr">
        <is>
          <t xml:space="preserve">  Nutzen Prolaktin</t>
        </is>
      </c>
      <c r="G159" s="267">
        <f>(1-MAX(0,MAX(G119:G119)))</f>
        <v/>
      </c>
      <c r="H159" s="267">
        <f>(1-MAX(0,MAX(H119:H119)))</f>
        <v/>
      </c>
      <c r="I159" s="267">
        <f>(1-MAX(0,MAX(I119:I119)))</f>
        <v/>
      </c>
      <c r="J159" s="267">
        <f>(1-MAX(0,MAX(J119:J119)))</f>
        <v/>
      </c>
      <c r="K159" s="267">
        <f>(1-MAX(0,MAX(K119:K119)))</f>
        <v/>
      </c>
      <c r="L159" s="267">
        <f>(1-MAX(0,MAX(L119:L119)))</f>
        <v/>
      </c>
      <c r="M159" s="267">
        <f>(1-MAX(0,MAX(M119:M119)))</f>
        <v/>
      </c>
      <c r="N159" s="267">
        <f>(1-MAX(0,MAX(N119:N119)))</f>
        <v/>
      </c>
      <c r="O159" s="267">
        <f>(1-MAX(0,MAX(O119:O119)))</f>
        <v/>
      </c>
      <c r="P159" s="267">
        <f>(1-MAX(0,MAX(P119:P119)))</f>
        <v/>
      </c>
      <c r="Q159" s="267">
        <f>(1-MAX(0,MAX(Q119:Q119)))</f>
        <v/>
      </c>
      <c r="R159" s="267">
        <f>(1-MAX(0,MAX(R119:R119)))</f>
        <v/>
      </c>
      <c r="S159" s="267">
        <f>(1-MAX(0,MAX(S119:S119)))</f>
        <v/>
      </c>
      <c r="T159" s="267">
        <f>(1-MAX(0,MAX(T119:T119)))</f>
        <v/>
      </c>
      <c r="U159" s="267">
        <f>(1-MAX(0,MAX(U119:U119)))</f>
        <v/>
      </c>
      <c r="V159" s="267">
        <f>(1-MAX(0,MAX(V119:V119)))</f>
        <v/>
      </c>
    </row>
    <row r="160" hidden="1" outlineLevel="1">
      <c r="A160" s="222" t="inlineStr">
        <is>
          <t xml:space="preserve">  Nutzen SERM</t>
        </is>
      </c>
      <c r="G160" s="267">
        <f>(1-MAX(0,MAX(G120:G120)))</f>
        <v/>
      </c>
      <c r="H160" s="267">
        <f>(1-MAX(0,MAX(H120:H120)))</f>
        <v/>
      </c>
      <c r="I160" s="267">
        <f>(1-MAX(0,MAX(I120:I120)))</f>
        <v/>
      </c>
      <c r="J160" s="267">
        <f>(1-MAX(0,MAX(J120:J120)))</f>
        <v/>
      </c>
      <c r="K160" s="267">
        <f>(1-MAX(0,MAX(K120:K120)))</f>
        <v/>
      </c>
      <c r="L160" s="267">
        <f>(1-MAX(0,MAX(L120:L120)))</f>
        <v/>
      </c>
      <c r="M160" s="267">
        <f>(1-MAX(0,MAX(M120:M120)))</f>
        <v/>
      </c>
      <c r="N160" s="267">
        <f>(1-MAX(0,MAX(N120:N120)))</f>
        <v/>
      </c>
      <c r="O160" s="267">
        <f>(1-MAX(0,MAX(O120:O120)))</f>
        <v/>
      </c>
      <c r="P160" s="267">
        <f>(1-MAX(0,MAX(P120:P120)))</f>
        <v/>
      </c>
      <c r="Q160" s="267">
        <f>(1-MAX(0,MAX(Q120:Q120)))</f>
        <v/>
      </c>
      <c r="R160" s="267">
        <f>(1-MAX(0,MAX(R120:R120)))</f>
        <v/>
      </c>
      <c r="S160" s="267">
        <f>(1-MAX(0,MAX(S120:S120)))</f>
        <v/>
      </c>
      <c r="T160" s="267">
        <f>(1-MAX(0,MAX(T120:T120)))</f>
        <v/>
      </c>
      <c r="U160" s="267">
        <f>(1-MAX(0,MAX(U120:U120)))</f>
        <v/>
      </c>
      <c r="V160" s="267">
        <f>(1-MAX(0,MAX(V120:V120)))</f>
        <v/>
      </c>
    </row>
    <row r="161" hidden="1" outlineLevel="1">
      <c r="A161" s="222" t="inlineStr">
        <is>
          <t xml:space="preserve">  Nutzen Basis</t>
        </is>
      </c>
      <c r="G161" s="267">
        <f>(1-MAX(0,MAX(G121:G121)))</f>
        <v/>
      </c>
      <c r="H161" s="267">
        <f>(1-MAX(0,MAX(H121:H121)))</f>
        <v/>
      </c>
      <c r="I161" s="267">
        <f>(1-MAX(0,MAX(I121:I121)))</f>
        <v/>
      </c>
      <c r="J161" s="267">
        <f>(1-MAX(0,MAX(J121:J121)))</f>
        <v/>
      </c>
      <c r="K161" s="267">
        <f>(1-MAX(0,MAX(K121:K121)))</f>
        <v/>
      </c>
      <c r="L161" s="267">
        <f>(1-MAX(0,MAX(L121:L121)))</f>
        <v/>
      </c>
      <c r="M161" s="267">
        <f>(1-MAX(0,MAX(M121:M121)))</f>
        <v/>
      </c>
      <c r="N161" s="267">
        <f>(1-MAX(0,MAX(N121:N121)))</f>
        <v/>
      </c>
      <c r="O161" s="267">
        <f>(1-MAX(0,MAX(O121:O121)))</f>
        <v/>
      </c>
      <c r="P161" s="267">
        <f>(1-MAX(0,MAX(P121:P121)))</f>
        <v/>
      </c>
      <c r="Q161" s="267">
        <f>(1-MAX(0,MAX(Q121:Q121)))</f>
        <v/>
      </c>
      <c r="R161" s="267">
        <f>(1-MAX(0,MAX(R121:R121)))</f>
        <v/>
      </c>
      <c r="S161" s="267">
        <f>(1-MAX(0,MAX(S121:S121)))</f>
        <v/>
      </c>
      <c r="T161" s="267">
        <f>(1-MAX(0,MAX(T121:T121)))</f>
        <v/>
      </c>
      <c r="U161" s="267">
        <f>(1-MAX(0,MAX(U121:U121)))</f>
        <v/>
      </c>
      <c r="V161" s="267">
        <f>(1-MAX(0,MAX(V121:V121)))</f>
        <v/>
      </c>
    </row>
    <row r="162" hidden="1" outlineLevel="1">
      <c r="A162" s="222" t="inlineStr">
        <is>
          <t xml:space="preserve">  Nutzen 19-Nor</t>
        </is>
      </c>
      <c r="G162" s="267">
        <f>(1-MAX(0,MAX(G122:G123)))</f>
        <v/>
      </c>
      <c r="H162" s="267">
        <f>(1-MAX(0,MAX(H122:H123)))</f>
        <v/>
      </c>
      <c r="I162" s="267">
        <f>(1-MAX(0,MAX(I122:I123)))</f>
        <v/>
      </c>
      <c r="J162" s="267">
        <f>(1-MAX(0,MAX(J122:J123)))</f>
        <v/>
      </c>
      <c r="K162" s="267">
        <f>(1-MAX(0,MAX(K122:K123)))</f>
        <v/>
      </c>
      <c r="L162" s="267">
        <f>(1-MAX(0,MAX(L122:L123)))</f>
        <v/>
      </c>
      <c r="M162" s="267">
        <f>(1-MAX(0,MAX(M122:M123)))</f>
        <v/>
      </c>
      <c r="N162" s="267">
        <f>(1-MAX(0,MAX(N122:N123)))</f>
        <v/>
      </c>
      <c r="O162" s="267">
        <f>(1-MAX(0,MAX(O122:O123)))</f>
        <v/>
      </c>
      <c r="P162" s="267">
        <f>(1-MAX(0,MAX(P122:P123)))</f>
        <v/>
      </c>
      <c r="Q162" s="267">
        <f>(1-MAX(0,MAX(Q122:Q123)))</f>
        <v/>
      </c>
      <c r="R162" s="267">
        <f>(1-MAX(0,MAX(R122:R123)))</f>
        <v/>
      </c>
      <c r="S162" s="267">
        <f>(1-MAX(0,MAX(S122:S123)))</f>
        <v/>
      </c>
      <c r="T162" s="267">
        <f>(1-MAX(0,MAX(T122:T123)))</f>
        <v/>
      </c>
      <c r="U162" s="267">
        <f>(1-MAX(0,MAX(U122:U123)))</f>
        <v/>
      </c>
      <c r="V162" s="267">
        <f>(1-MAX(0,MAX(V122:V123)))</f>
        <v/>
      </c>
    </row>
    <row r="163" hidden="1" outlineLevel="1">
      <c r="A163" s="222" t="inlineStr">
        <is>
          <t xml:space="preserve">  Nutzen Sonstige AAS</t>
        </is>
      </c>
      <c r="G163" s="267">
        <f>(1-MAX(0,MAX(G124:G124)))</f>
        <v/>
      </c>
      <c r="H163" s="267">
        <f>(1-MAX(0,MAX(H124:H124)))</f>
        <v/>
      </c>
      <c r="I163" s="267">
        <f>(1-MAX(0,MAX(I124:I124)))</f>
        <v/>
      </c>
      <c r="J163" s="267">
        <f>(1-MAX(0,MAX(J124:J124)))</f>
        <v/>
      </c>
      <c r="K163" s="267">
        <f>(1-MAX(0,MAX(K124:K124)))</f>
        <v/>
      </c>
      <c r="L163" s="267">
        <f>(1-MAX(0,MAX(L124:L124)))</f>
        <v/>
      </c>
      <c r="M163" s="267">
        <f>(1-MAX(0,MAX(M124:M124)))</f>
        <v/>
      </c>
      <c r="N163" s="267">
        <f>(1-MAX(0,MAX(N124:N124)))</f>
        <v/>
      </c>
      <c r="O163" s="267">
        <f>(1-MAX(0,MAX(O124:O124)))</f>
        <v/>
      </c>
      <c r="P163" s="267">
        <f>(1-MAX(0,MAX(P124:P124)))</f>
        <v/>
      </c>
      <c r="Q163" s="267">
        <f>(1-MAX(0,MAX(Q124:Q124)))</f>
        <v/>
      </c>
      <c r="R163" s="267">
        <f>(1-MAX(0,MAX(R124:R124)))</f>
        <v/>
      </c>
      <c r="S163" s="267">
        <f>(1-MAX(0,MAX(S124:S124)))</f>
        <v/>
      </c>
      <c r="T163" s="267">
        <f>(1-MAX(0,MAX(T124:T124)))</f>
        <v/>
      </c>
      <c r="U163" s="267">
        <f>(1-MAX(0,MAX(U124:U124)))</f>
        <v/>
      </c>
      <c r="V163" s="267">
        <f>(1-MAX(0,MAX(V124:V124)))</f>
        <v/>
      </c>
    </row>
    <row r="164" hidden="1" outlineLevel="1">
      <c r="A164" s="222" t="inlineStr">
        <is>
          <t xml:space="preserve">  Nutzen DHT-Derivat</t>
        </is>
      </c>
      <c r="G164" s="267">
        <f>(1-MAX(0,MAX(G125:G126)))</f>
        <v/>
      </c>
      <c r="H164" s="267">
        <f>(1-MAX(0,MAX(H125:H126)))</f>
        <v/>
      </c>
      <c r="I164" s="267">
        <f>(1-MAX(0,MAX(I125:I126)))</f>
        <v/>
      </c>
      <c r="J164" s="267">
        <f>(1-MAX(0,MAX(J125:J126)))</f>
        <v/>
      </c>
      <c r="K164" s="267">
        <f>(1-MAX(0,MAX(K125:K126)))</f>
        <v/>
      </c>
      <c r="L164" s="267">
        <f>(1-MAX(0,MAX(L125:L126)))</f>
        <v/>
      </c>
      <c r="M164" s="267">
        <f>(1-MAX(0,MAX(M125:M126)))</f>
        <v/>
      </c>
      <c r="N164" s="267">
        <f>(1-MAX(0,MAX(N125:N126)))</f>
        <v/>
      </c>
      <c r="O164" s="267">
        <f>(1-MAX(0,MAX(O125:O126)))</f>
        <v/>
      </c>
      <c r="P164" s="267">
        <f>(1-MAX(0,MAX(P125:P126)))</f>
        <v/>
      </c>
      <c r="Q164" s="267">
        <f>(1-MAX(0,MAX(Q125:Q126)))</f>
        <v/>
      </c>
      <c r="R164" s="267">
        <f>(1-MAX(0,MAX(R125:R126)))</f>
        <v/>
      </c>
      <c r="S164" s="267">
        <f>(1-MAX(0,MAX(S125:S126)))</f>
        <v/>
      </c>
      <c r="T164" s="267">
        <f>(1-MAX(0,MAX(T125:T126)))</f>
        <v/>
      </c>
      <c r="U164" s="267">
        <f>(1-MAX(0,MAX(U125:U126)))</f>
        <v/>
      </c>
      <c r="V164" s="267">
        <f>(1-MAX(0,MAX(V125:V126)))</f>
        <v/>
      </c>
    </row>
    <row r="165" hidden="1" outlineLevel="1">
      <c r="A165" s="222" t="inlineStr">
        <is>
          <t xml:space="preserve">  Nutzen Oral 17-aa</t>
        </is>
      </c>
      <c r="G165" s="267">
        <f>(1-MAX(0,MAX(G127:G131)))</f>
        <v/>
      </c>
      <c r="H165" s="267">
        <f>(1-MAX(0,MAX(H127:H131)))</f>
        <v/>
      </c>
      <c r="I165" s="267">
        <f>(1-MAX(0,MAX(I127:I131)))</f>
        <v/>
      </c>
      <c r="J165" s="267">
        <f>(1-MAX(0,MAX(J127:J131)))</f>
        <v/>
      </c>
      <c r="K165" s="267">
        <f>(1-MAX(0,MAX(K127:K131)))</f>
        <v/>
      </c>
      <c r="L165" s="267">
        <f>(1-MAX(0,MAX(L127:L131)))</f>
        <v/>
      </c>
      <c r="M165" s="267">
        <f>(1-MAX(0,MAX(M127:M131)))</f>
        <v/>
      </c>
      <c r="N165" s="267">
        <f>(1-MAX(0,MAX(N127:N131)))</f>
        <v/>
      </c>
      <c r="O165" s="267">
        <f>(1-MAX(0,MAX(O127:O131)))</f>
        <v/>
      </c>
      <c r="P165" s="267">
        <f>(1-MAX(0,MAX(P127:P131)))</f>
        <v/>
      </c>
      <c r="Q165" s="267">
        <f>(1-MAX(0,MAX(Q127:Q131)))</f>
        <v/>
      </c>
      <c r="R165" s="267">
        <f>(1-MAX(0,MAX(R127:R131)))</f>
        <v/>
      </c>
      <c r="S165" s="267">
        <f>(1-MAX(0,MAX(S127:S131)))</f>
        <v/>
      </c>
      <c r="T165" s="267">
        <f>(1-MAX(0,MAX(T127:T131)))</f>
        <v/>
      </c>
      <c r="U165" s="267">
        <f>(1-MAX(0,MAX(U127:U131)))</f>
        <v/>
      </c>
      <c r="V165" s="267">
        <f>(1-MAX(0,MAX(V127:V131)))</f>
        <v/>
      </c>
    </row>
    <row r="166" hidden="1" outlineLevel="1">
      <c r="A166" s="222" t="inlineStr">
        <is>
          <t xml:space="preserve">  Nutzen SARM</t>
        </is>
      </c>
      <c r="G166" s="267">
        <f>(1-MAX(0,MAX(G132:G132)))</f>
        <v/>
      </c>
      <c r="H166" s="267">
        <f>(1-MAX(0,MAX(H132:H132)))</f>
        <v/>
      </c>
      <c r="I166" s="267">
        <f>(1-MAX(0,MAX(I132:I132)))</f>
        <v/>
      </c>
      <c r="J166" s="267">
        <f>(1-MAX(0,MAX(J132:J132)))</f>
        <v/>
      </c>
      <c r="K166" s="267">
        <f>(1-MAX(0,MAX(K132:K132)))</f>
        <v/>
      </c>
      <c r="L166" s="267">
        <f>(1-MAX(0,MAX(L132:L132)))</f>
        <v/>
      </c>
      <c r="M166" s="267">
        <f>(1-MAX(0,MAX(M132:M132)))</f>
        <v/>
      </c>
      <c r="N166" s="267">
        <f>(1-MAX(0,MAX(N132:N132)))</f>
        <v/>
      </c>
      <c r="O166" s="267">
        <f>(1-MAX(0,MAX(O132:O132)))</f>
        <v/>
      </c>
      <c r="P166" s="267">
        <f>(1-MAX(0,MAX(P132:P132)))</f>
        <v/>
      </c>
      <c r="Q166" s="267">
        <f>(1-MAX(0,MAX(Q132:Q132)))</f>
        <v/>
      </c>
      <c r="R166" s="267">
        <f>(1-MAX(0,MAX(R132:R132)))</f>
        <v/>
      </c>
      <c r="S166" s="267">
        <f>(1-MAX(0,MAX(S132:S132)))</f>
        <v/>
      </c>
      <c r="T166" s="267">
        <f>(1-MAX(0,MAX(T132:T132)))</f>
        <v/>
      </c>
      <c r="U166" s="267">
        <f>(1-MAX(0,MAX(U132:U132)))</f>
        <v/>
      </c>
      <c r="V166" s="267">
        <f>(1-MAX(0,MAX(V132:V132)))</f>
        <v/>
      </c>
    </row>
    <row r="167" hidden="1" outlineLevel="1">
      <c r="A167" s="222" t="inlineStr">
        <is>
          <t xml:space="preserve">  Nutzen Peptidhormon</t>
        </is>
      </c>
      <c r="G167" s="267">
        <f>(1-MAX(0,MAX(G133:G133)))</f>
        <v/>
      </c>
      <c r="H167" s="267">
        <f>(1-MAX(0,MAX(H133:H133)))</f>
        <v/>
      </c>
      <c r="I167" s="267">
        <f>(1-MAX(0,MAX(I133:I133)))</f>
        <v/>
      </c>
      <c r="J167" s="267">
        <f>(1-MAX(0,MAX(J133:J133)))</f>
        <v/>
      </c>
      <c r="K167" s="267">
        <f>(1-MAX(0,MAX(K133:K133)))</f>
        <v/>
      </c>
      <c r="L167" s="267">
        <f>(1-MAX(0,MAX(L133:L133)))</f>
        <v/>
      </c>
      <c r="M167" s="267">
        <f>(1-MAX(0,MAX(M133:M133)))</f>
        <v/>
      </c>
      <c r="N167" s="267">
        <f>(1-MAX(0,MAX(N133:N133)))</f>
        <v/>
      </c>
      <c r="O167" s="267">
        <f>(1-MAX(0,MAX(O133:O133)))</f>
        <v/>
      </c>
      <c r="P167" s="267">
        <f>(1-MAX(0,MAX(P133:P133)))</f>
        <v/>
      </c>
      <c r="Q167" s="267">
        <f>(1-MAX(0,MAX(Q133:Q133)))</f>
        <v/>
      </c>
      <c r="R167" s="267">
        <f>(1-MAX(0,MAX(R133:R133)))</f>
        <v/>
      </c>
      <c r="S167" s="267">
        <f>(1-MAX(0,MAX(S133:S133)))</f>
        <v/>
      </c>
      <c r="T167" s="267">
        <f>(1-MAX(0,MAX(T133:T133)))</f>
        <v/>
      </c>
      <c r="U167" s="267">
        <f>(1-MAX(0,MAX(U133:U133)))</f>
        <v/>
      </c>
      <c r="V167" s="267">
        <f>(1-MAX(0,MAX(V133:V133)))</f>
        <v/>
      </c>
    </row>
    <row r="168" hidden="1" outlineLevel="1">
      <c r="A168" s="222" t="inlineStr">
        <is>
          <t xml:space="preserve">  Nutzen Insulin</t>
        </is>
      </c>
      <c r="G168" s="267">
        <f>(1-MAX(0,MAX(G134:G134)))</f>
        <v/>
      </c>
      <c r="H168" s="267">
        <f>(1-MAX(0,MAX(H134:H134)))</f>
        <v/>
      </c>
      <c r="I168" s="267">
        <f>(1-MAX(0,MAX(I134:I134)))</f>
        <v/>
      </c>
      <c r="J168" s="267">
        <f>(1-MAX(0,MAX(J134:J134)))</f>
        <v/>
      </c>
      <c r="K168" s="267">
        <f>(1-MAX(0,MAX(K134:K134)))</f>
        <v/>
      </c>
      <c r="L168" s="267">
        <f>(1-MAX(0,MAX(L134:L134)))</f>
        <v/>
      </c>
      <c r="M168" s="267">
        <f>(1-MAX(0,MAX(M134:M134)))</f>
        <v/>
      </c>
      <c r="N168" s="267">
        <f>(1-MAX(0,MAX(N134:N134)))</f>
        <v/>
      </c>
      <c r="O168" s="267">
        <f>(1-MAX(0,MAX(O134:O134)))</f>
        <v/>
      </c>
      <c r="P168" s="267">
        <f>(1-MAX(0,MAX(P134:P134)))</f>
        <v/>
      </c>
      <c r="Q168" s="267">
        <f>(1-MAX(0,MAX(Q134:Q134)))</f>
        <v/>
      </c>
      <c r="R168" s="267">
        <f>(1-MAX(0,MAX(R134:R134)))</f>
        <v/>
      </c>
      <c r="S168" s="267">
        <f>(1-MAX(0,MAX(S134:S134)))</f>
        <v/>
      </c>
      <c r="T168" s="267">
        <f>(1-MAX(0,MAX(T134:T134)))</f>
        <v/>
      </c>
      <c r="U168" s="267">
        <f>(1-MAX(0,MAX(U134:U134)))</f>
        <v/>
      </c>
      <c r="V168" s="267">
        <f>(1-MAX(0,MAX(V134:V134)))</f>
        <v/>
      </c>
    </row>
    <row r="169" hidden="1" outlineLevel="1">
      <c r="A169" s="222" t="inlineStr">
        <is>
          <t xml:space="preserve">  Nutzen Beta-2-Agonist</t>
        </is>
      </c>
      <c r="G169" s="267">
        <f>(1-MAX(0,MAX(G135:G135)))</f>
        <v/>
      </c>
      <c r="H169" s="267">
        <f>(1-MAX(0,MAX(H135:H135)))</f>
        <v/>
      </c>
      <c r="I169" s="267">
        <f>(1-MAX(0,MAX(I135:I135)))</f>
        <v/>
      </c>
      <c r="J169" s="267">
        <f>(1-MAX(0,MAX(J135:J135)))</f>
        <v/>
      </c>
      <c r="K169" s="267">
        <f>(1-MAX(0,MAX(K135:K135)))</f>
        <v/>
      </c>
      <c r="L169" s="267">
        <f>(1-MAX(0,MAX(L135:L135)))</f>
        <v/>
      </c>
      <c r="M169" s="267">
        <f>(1-MAX(0,MAX(M135:M135)))</f>
        <v/>
      </c>
      <c r="N169" s="267">
        <f>(1-MAX(0,MAX(N135:N135)))</f>
        <v/>
      </c>
      <c r="O169" s="267">
        <f>(1-MAX(0,MAX(O135:O135)))</f>
        <v/>
      </c>
      <c r="P169" s="267">
        <f>(1-MAX(0,MAX(P135:P135)))</f>
        <v/>
      </c>
      <c r="Q169" s="267">
        <f>(1-MAX(0,MAX(Q135:Q135)))</f>
        <v/>
      </c>
      <c r="R169" s="267">
        <f>(1-MAX(0,MAX(R135:R135)))</f>
        <v/>
      </c>
      <c r="S169" s="267">
        <f>(1-MAX(0,MAX(S135:S135)))</f>
        <v/>
      </c>
      <c r="T169" s="267">
        <f>(1-MAX(0,MAX(T135:T135)))</f>
        <v/>
      </c>
      <c r="U169" s="267">
        <f>(1-MAX(0,MAX(U135:U135)))</f>
        <v/>
      </c>
      <c r="V169" s="267">
        <f>(1-MAX(0,MAX(V135:V135)))</f>
        <v/>
      </c>
    </row>
    <row r="170" hidden="1" outlineLevel="1">
      <c r="A170" s="222" t="inlineStr">
        <is>
          <t xml:space="preserve">  Nutzen Schilddruesenhormon</t>
        </is>
      </c>
      <c r="G170" s="267">
        <f>(1-MAX(0,MAX(G136:G136)))</f>
        <v/>
      </c>
      <c r="H170" s="267">
        <f>(1-MAX(0,MAX(H136:H136)))</f>
        <v/>
      </c>
      <c r="I170" s="267">
        <f>(1-MAX(0,MAX(I136:I136)))</f>
        <v/>
      </c>
      <c r="J170" s="267">
        <f>(1-MAX(0,MAX(J136:J136)))</f>
        <v/>
      </c>
      <c r="K170" s="267">
        <f>(1-MAX(0,MAX(K136:K136)))</f>
        <v/>
      </c>
      <c r="L170" s="267">
        <f>(1-MAX(0,MAX(L136:L136)))</f>
        <v/>
      </c>
      <c r="M170" s="267">
        <f>(1-MAX(0,MAX(M136:M136)))</f>
        <v/>
      </c>
      <c r="N170" s="267">
        <f>(1-MAX(0,MAX(N136:N136)))</f>
        <v/>
      </c>
      <c r="O170" s="267">
        <f>(1-MAX(0,MAX(O136:O136)))</f>
        <v/>
      </c>
      <c r="P170" s="267">
        <f>(1-MAX(0,MAX(P136:P136)))</f>
        <v/>
      </c>
      <c r="Q170" s="267">
        <f>(1-MAX(0,MAX(Q136:Q136)))</f>
        <v/>
      </c>
      <c r="R170" s="267">
        <f>(1-MAX(0,MAX(R136:R136)))</f>
        <v/>
      </c>
      <c r="S170" s="267">
        <f>(1-MAX(0,MAX(S136:S136)))</f>
        <v/>
      </c>
      <c r="T170" s="267">
        <f>(1-MAX(0,MAX(T136:T136)))</f>
        <v/>
      </c>
      <c r="U170" s="267">
        <f>(1-MAX(0,MAX(U136:U136)))</f>
        <v/>
      </c>
      <c r="V170" s="267">
        <f>(1-MAX(0,MAX(V136:V136)))</f>
        <v/>
      </c>
    </row>
    <row r="171" hidden="1" outlineLevel="1">
      <c r="A171" s="222" t="inlineStr">
        <is>
          <t xml:space="preserve">  Nutzen Entkoppler</t>
        </is>
      </c>
      <c r="G171" s="267">
        <f>(1-MAX(0,MAX(G137:G137)))</f>
        <v/>
      </c>
      <c r="H171" s="267">
        <f>(1-MAX(0,MAX(H137:H137)))</f>
        <v/>
      </c>
      <c r="I171" s="267">
        <f>(1-MAX(0,MAX(I137:I137)))</f>
        <v/>
      </c>
      <c r="J171" s="267">
        <f>(1-MAX(0,MAX(J137:J137)))</f>
        <v/>
      </c>
      <c r="K171" s="267">
        <f>(1-MAX(0,MAX(K137:K137)))</f>
        <v/>
      </c>
      <c r="L171" s="267">
        <f>(1-MAX(0,MAX(L137:L137)))</f>
        <v/>
      </c>
      <c r="M171" s="267">
        <f>(1-MAX(0,MAX(M137:M137)))</f>
        <v/>
      </c>
      <c r="N171" s="267">
        <f>(1-MAX(0,MAX(N137:N137)))</f>
        <v/>
      </c>
      <c r="O171" s="267">
        <f>(1-MAX(0,MAX(O137:O137)))</f>
        <v/>
      </c>
      <c r="P171" s="267">
        <f>(1-MAX(0,MAX(P137:P137)))</f>
        <v/>
      </c>
      <c r="Q171" s="267">
        <f>(1-MAX(0,MAX(Q137:Q137)))</f>
        <v/>
      </c>
      <c r="R171" s="267">
        <f>(1-MAX(0,MAX(R137:R137)))</f>
        <v/>
      </c>
      <c r="S171" s="267">
        <f>(1-MAX(0,MAX(S137:S137)))</f>
        <v/>
      </c>
      <c r="T171" s="267">
        <f>(1-MAX(0,MAX(T137:T137)))</f>
        <v/>
      </c>
      <c r="U171" s="267">
        <f>(1-MAX(0,MAX(U137:U137)))</f>
        <v/>
      </c>
      <c r="V171" s="267">
        <f>(1-MAX(0,MAX(V137:V137)))</f>
        <v/>
      </c>
    </row>
    <row r="172" hidden="1" outlineLevel="1">
      <c r="A172" s="222" t="inlineStr">
        <is>
          <t xml:space="preserve">  Nutzen Rauchen</t>
        </is>
      </c>
      <c r="G172" s="267">
        <f>(1-MAX(0,MAX(G138:G138)))</f>
        <v/>
      </c>
      <c r="H172" s="267">
        <f>(1-MAX(0,MAX(H138:H138)))</f>
        <v/>
      </c>
      <c r="I172" s="267">
        <f>(1-MAX(0,MAX(I138:I138)))</f>
        <v/>
      </c>
      <c r="J172" s="267">
        <f>(1-MAX(0,MAX(J138:J138)))</f>
        <v/>
      </c>
      <c r="K172" s="267">
        <f>(1-MAX(0,MAX(K138:K138)))</f>
        <v/>
      </c>
      <c r="L172" s="267">
        <f>(1-MAX(0,MAX(L138:L138)))</f>
        <v/>
      </c>
      <c r="M172" s="267">
        <f>(1-MAX(0,MAX(M138:M138)))</f>
        <v/>
      </c>
      <c r="N172" s="267">
        <f>(1-MAX(0,MAX(N138:N138)))</f>
        <v/>
      </c>
      <c r="O172" s="267">
        <f>(1-MAX(0,MAX(O138:O138)))</f>
        <v/>
      </c>
      <c r="P172" s="267">
        <f>(1-MAX(0,MAX(P138:P138)))</f>
        <v/>
      </c>
      <c r="Q172" s="267">
        <f>(1-MAX(0,MAX(Q138:Q138)))</f>
        <v/>
      </c>
      <c r="R172" s="267">
        <f>(1-MAX(0,MAX(R138:R138)))</f>
        <v/>
      </c>
      <c r="S172" s="267">
        <f>(1-MAX(0,MAX(S138:S138)))</f>
        <v/>
      </c>
      <c r="T172" s="267">
        <f>(1-MAX(0,MAX(T138:T138)))</f>
        <v/>
      </c>
      <c r="U172" s="267">
        <f>(1-MAX(0,MAX(U138:U138)))</f>
        <v/>
      </c>
      <c r="V172" s="267">
        <f>(1-MAX(0,MAX(V138:V138)))</f>
        <v/>
      </c>
    </row>
    <row r="173" hidden="1" outlineLevel="1">
      <c r="A173" s="222" t="inlineStr">
        <is>
          <t xml:space="preserve">  Nutzen Alkohol</t>
        </is>
      </c>
      <c r="G173" s="267">
        <f>(1-MAX(0,MAX(G139:G139)))</f>
        <v/>
      </c>
      <c r="H173" s="267">
        <f>(1-MAX(0,MAX(H139:H139)))</f>
        <v/>
      </c>
      <c r="I173" s="267">
        <f>(1-MAX(0,MAX(I139:I139)))</f>
        <v/>
      </c>
      <c r="J173" s="267">
        <f>(1-MAX(0,MAX(J139:J139)))</f>
        <v/>
      </c>
      <c r="K173" s="267">
        <f>(1-MAX(0,MAX(K139:K139)))</f>
        <v/>
      </c>
      <c r="L173" s="267">
        <f>(1-MAX(0,MAX(L139:L139)))</f>
        <v/>
      </c>
      <c r="M173" s="267">
        <f>(1-MAX(0,MAX(M139:M139)))</f>
        <v/>
      </c>
      <c r="N173" s="267">
        <f>(1-MAX(0,MAX(N139:N139)))</f>
        <v/>
      </c>
      <c r="O173" s="267">
        <f>(1-MAX(0,MAX(O139:O139)))</f>
        <v/>
      </c>
      <c r="P173" s="267">
        <f>(1-MAX(0,MAX(P139:P139)))</f>
        <v/>
      </c>
      <c r="Q173" s="267">
        <f>(1-MAX(0,MAX(Q139:Q139)))</f>
        <v/>
      </c>
      <c r="R173" s="267">
        <f>(1-MAX(0,MAX(R139:R139)))</f>
        <v/>
      </c>
      <c r="S173" s="267">
        <f>(1-MAX(0,MAX(S139:S139)))</f>
        <v/>
      </c>
      <c r="T173" s="267">
        <f>(1-MAX(0,MAX(T139:T139)))</f>
        <v/>
      </c>
      <c r="U173" s="267">
        <f>(1-MAX(0,MAX(U139:U139)))</f>
        <v/>
      </c>
      <c r="V173" s="267">
        <f>(1-MAX(0,MAX(V139:V139)))</f>
        <v/>
      </c>
    </row>
    <row r="174" hidden="1" outlineLevel="1">
      <c r="A174" s="222" t="inlineStr">
        <is>
          <t xml:space="preserve">  Nutzenfaktor A) laeuft bereits</t>
        </is>
      </c>
      <c r="G174" s="267">
        <f>PRODUCT(G140:G173)</f>
        <v/>
      </c>
      <c r="H174" s="267">
        <f>PRODUCT(H140:H173)</f>
        <v/>
      </c>
      <c r="I174" s="267">
        <f>PRODUCT(I140:I173)</f>
        <v/>
      </c>
      <c r="J174" s="267">
        <f>PRODUCT(J140:J173)</f>
        <v/>
      </c>
      <c r="K174" s="267">
        <f>PRODUCT(K140:K173)</f>
        <v/>
      </c>
      <c r="L174" s="267">
        <f>PRODUCT(L140:L173)</f>
        <v/>
      </c>
      <c r="M174" s="267">
        <f>PRODUCT(M140:M173)</f>
        <v/>
      </c>
      <c r="N174" s="267">
        <f>PRODUCT(N140:N173)</f>
        <v/>
      </c>
      <c r="O174" s="267">
        <f>PRODUCT(O140:O173)</f>
        <v/>
      </c>
      <c r="P174" s="267">
        <f>PRODUCT(P140:P173)</f>
        <v/>
      </c>
      <c r="Q174" s="267">
        <f>PRODUCT(Q140:Q173)</f>
        <v/>
      </c>
      <c r="R174" s="267">
        <f>PRODUCT(R140:R173)</f>
        <v/>
      </c>
      <c r="S174" s="267">
        <f>PRODUCT(S140:S173)</f>
        <v/>
      </c>
      <c r="T174" s="267">
        <f>PRODUCT(T140:T173)</f>
        <v/>
      </c>
      <c r="U174" s="267">
        <f>PRODUCT(U140:U173)</f>
        <v/>
      </c>
      <c r="V174" s="267">
        <f>PRODUCT(V140:V173)</f>
        <v/>
      </c>
    </row>
    <row r="175" hidden="1" outlineLevel="1">
      <c r="A175" s="222" t="inlineStr">
        <is>
          <t xml:space="preserve">  Last Statin/PCSK9</t>
        </is>
      </c>
      <c r="G175" s="267">
        <f>(1-MIN(0,MIN(G98:G99)))</f>
        <v/>
      </c>
      <c r="H175" s="267">
        <f>(1-MIN(0,MIN(H98:H99)))</f>
        <v/>
      </c>
      <c r="I175" s="267">
        <f>(1-MIN(0,MIN(I98:I99)))</f>
        <v/>
      </c>
      <c r="J175" s="267">
        <f>(1-MIN(0,MIN(J98:J99)))</f>
        <v/>
      </c>
      <c r="K175" s="267">
        <f>(1-MIN(0,MIN(K98:K99)))</f>
        <v/>
      </c>
      <c r="L175" s="267">
        <f>(1-MIN(0,MIN(L98:L99)))</f>
        <v/>
      </c>
      <c r="M175" s="267">
        <f>(1-MIN(0,MIN(M98:M99)))</f>
        <v/>
      </c>
      <c r="N175" s="267">
        <f>(1-MIN(0,MIN(N98:N99)))</f>
        <v/>
      </c>
      <c r="O175" s="267">
        <f>(1-MIN(0,MIN(O98:O99)))</f>
        <v/>
      </c>
      <c r="P175" s="267">
        <f>(1-MIN(0,MIN(P98:P99)))</f>
        <v/>
      </c>
      <c r="Q175" s="267">
        <f>(1-MIN(0,MIN(Q98:Q99)))</f>
        <v/>
      </c>
      <c r="R175" s="267">
        <f>(1-MIN(0,MIN(R98:R99)))</f>
        <v/>
      </c>
      <c r="S175" s="267">
        <f>(1-MIN(0,MIN(S98:S99)))</f>
        <v/>
      </c>
      <c r="T175" s="267">
        <f>(1-MIN(0,MIN(T98:T99)))</f>
        <v/>
      </c>
      <c r="U175" s="267">
        <f>(1-MIN(0,MIN(U98:U99)))</f>
        <v/>
      </c>
      <c r="V175" s="267">
        <f>(1-MIN(0,MIN(V98:V99)))</f>
        <v/>
      </c>
    </row>
    <row r="176" hidden="1" outlineLevel="1">
      <c r="A176" s="222" t="inlineStr">
        <is>
          <t xml:space="preserve">  Last Cholesterin-Resorptionshemmer</t>
        </is>
      </c>
      <c r="G176" s="267">
        <f>(1-MIN(0,MIN(G100:G100)))</f>
        <v/>
      </c>
      <c r="H176" s="267">
        <f>(1-MIN(0,MIN(H100:H100)))</f>
        <v/>
      </c>
      <c r="I176" s="267">
        <f>(1-MIN(0,MIN(I100:I100)))</f>
        <v/>
      </c>
      <c r="J176" s="267">
        <f>(1-MIN(0,MIN(J100:J100)))</f>
        <v/>
      </c>
      <c r="K176" s="267">
        <f>(1-MIN(0,MIN(K100:K100)))</f>
        <v/>
      </c>
      <c r="L176" s="267">
        <f>(1-MIN(0,MIN(L100:L100)))</f>
        <v/>
      </c>
      <c r="M176" s="267">
        <f>(1-MIN(0,MIN(M100:M100)))</f>
        <v/>
      </c>
      <c r="N176" s="267">
        <f>(1-MIN(0,MIN(N100:N100)))</f>
        <v/>
      </c>
      <c r="O176" s="267">
        <f>(1-MIN(0,MIN(O100:O100)))</f>
        <v/>
      </c>
      <c r="P176" s="267">
        <f>(1-MIN(0,MIN(P100:P100)))</f>
        <v/>
      </c>
      <c r="Q176" s="267">
        <f>(1-MIN(0,MIN(Q100:Q100)))</f>
        <v/>
      </c>
      <c r="R176" s="267">
        <f>(1-MIN(0,MIN(R100:R100)))</f>
        <v/>
      </c>
      <c r="S176" s="267">
        <f>(1-MIN(0,MIN(S100:S100)))</f>
        <v/>
      </c>
      <c r="T176" s="267">
        <f>(1-MIN(0,MIN(T100:T100)))</f>
        <v/>
      </c>
      <c r="U176" s="267">
        <f>(1-MIN(0,MIN(U100:U100)))</f>
        <v/>
      </c>
      <c r="V176" s="267">
        <f>(1-MIN(0,MIN(V100:V100)))</f>
        <v/>
      </c>
    </row>
    <row r="177" hidden="1" outlineLevel="1">
      <c r="A177" s="222" t="inlineStr">
        <is>
          <t xml:space="preserve">  Last ACL-Hemmer</t>
        </is>
      </c>
      <c r="G177" s="267">
        <f>(1-MIN(0,MIN(G101:G101)))</f>
        <v/>
      </c>
      <c r="H177" s="267">
        <f>(1-MIN(0,MIN(H101:H101)))</f>
        <v/>
      </c>
      <c r="I177" s="267">
        <f>(1-MIN(0,MIN(I101:I101)))</f>
        <v/>
      </c>
      <c r="J177" s="267">
        <f>(1-MIN(0,MIN(J101:J101)))</f>
        <v/>
      </c>
      <c r="K177" s="267">
        <f>(1-MIN(0,MIN(K101:K101)))</f>
        <v/>
      </c>
      <c r="L177" s="267">
        <f>(1-MIN(0,MIN(L101:L101)))</f>
        <v/>
      </c>
      <c r="M177" s="267">
        <f>(1-MIN(0,MIN(M101:M101)))</f>
        <v/>
      </c>
      <c r="N177" s="267">
        <f>(1-MIN(0,MIN(N101:N101)))</f>
        <v/>
      </c>
      <c r="O177" s="267">
        <f>(1-MIN(0,MIN(O101:O101)))</f>
        <v/>
      </c>
      <c r="P177" s="267">
        <f>(1-MIN(0,MIN(P101:P101)))</f>
        <v/>
      </c>
      <c r="Q177" s="267">
        <f>(1-MIN(0,MIN(Q101:Q101)))</f>
        <v/>
      </c>
      <c r="R177" s="267">
        <f>(1-MIN(0,MIN(R101:R101)))</f>
        <v/>
      </c>
      <c r="S177" s="267">
        <f>(1-MIN(0,MIN(S101:S101)))</f>
        <v/>
      </c>
      <c r="T177" s="267">
        <f>(1-MIN(0,MIN(T101:T101)))</f>
        <v/>
      </c>
      <c r="U177" s="267">
        <f>(1-MIN(0,MIN(U101:U101)))</f>
        <v/>
      </c>
      <c r="V177" s="267">
        <f>(1-MIN(0,MIN(V101:V101)))</f>
        <v/>
      </c>
    </row>
    <row r="178" hidden="1" outlineLevel="1">
      <c r="A178" s="222" t="inlineStr">
        <is>
          <t xml:space="preserve">  Last RAAS-Blocker</t>
        </is>
      </c>
      <c r="G178" s="267">
        <f>(1-MIN(0,MIN(G102:G103)))</f>
        <v/>
      </c>
      <c r="H178" s="267">
        <f>(1-MIN(0,MIN(H102:H103)))</f>
        <v/>
      </c>
      <c r="I178" s="267">
        <f>(1-MIN(0,MIN(I102:I103)))</f>
        <v/>
      </c>
      <c r="J178" s="267">
        <f>(1-MIN(0,MIN(J102:J103)))</f>
        <v/>
      </c>
      <c r="K178" s="267">
        <f>(1-MIN(0,MIN(K102:K103)))</f>
        <v/>
      </c>
      <c r="L178" s="267">
        <f>(1-MIN(0,MIN(L102:L103)))</f>
        <v/>
      </c>
      <c r="M178" s="267">
        <f>(1-MIN(0,MIN(M102:M103)))</f>
        <v/>
      </c>
      <c r="N178" s="267">
        <f>(1-MIN(0,MIN(N102:N103)))</f>
        <v/>
      </c>
      <c r="O178" s="267">
        <f>(1-MIN(0,MIN(O102:O103)))</f>
        <v/>
      </c>
      <c r="P178" s="267">
        <f>(1-MIN(0,MIN(P102:P103)))</f>
        <v/>
      </c>
      <c r="Q178" s="267">
        <f>(1-MIN(0,MIN(Q102:Q103)))</f>
        <v/>
      </c>
      <c r="R178" s="267">
        <f>(1-MIN(0,MIN(R102:R103)))</f>
        <v/>
      </c>
      <c r="S178" s="267">
        <f>(1-MIN(0,MIN(S102:S103)))</f>
        <v/>
      </c>
      <c r="T178" s="267">
        <f>(1-MIN(0,MIN(T102:T103)))</f>
        <v/>
      </c>
      <c r="U178" s="267">
        <f>(1-MIN(0,MIN(U102:U103)))</f>
        <v/>
      </c>
      <c r="V178" s="267">
        <f>(1-MIN(0,MIN(V102:V103)))</f>
        <v/>
      </c>
    </row>
    <row r="179" hidden="1" outlineLevel="1">
      <c r="A179" s="222" t="inlineStr">
        <is>
          <t xml:space="preserve">  Last Calciumantagonist</t>
        </is>
      </c>
      <c r="G179" s="267">
        <f>(1-MIN(0,MIN(G104:G104)))</f>
        <v/>
      </c>
      <c r="H179" s="267">
        <f>(1-MIN(0,MIN(H104:H104)))</f>
        <v/>
      </c>
      <c r="I179" s="267">
        <f>(1-MIN(0,MIN(I104:I104)))</f>
        <v/>
      </c>
      <c r="J179" s="267">
        <f>(1-MIN(0,MIN(J104:J104)))</f>
        <v/>
      </c>
      <c r="K179" s="267">
        <f>(1-MIN(0,MIN(K104:K104)))</f>
        <v/>
      </c>
      <c r="L179" s="267">
        <f>(1-MIN(0,MIN(L104:L104)))</f>
        <v/>
      </c>
      <c r="M179" s="267">
        <f>(1-MIN(0,MIN(M104:M104)))</f>
        <v/>
      </c>
      <c r="N179" s="267">
        <f>(1-MIN(0,MIN(N104:N104)))</f>
        <v/>
      </c>
      <c r="O179" s="267">
        <f>(1-MIN(0,MIN(O104:O104)))</f>
        <v/>
      </c>
      <c r="P179" s="267">
        <f>(1-MIN(0,MIN(P104:P104)))</f>
        <v/>
      </c>
      <c r="Q179" s="267">
        <f>(1-MIN(0,MIN(Q104:Q104)))</f>
        <v/>
      </c>
      <c r="R179" s="267">
        <f>(1-MIN(0,MIN(R104:R104)))</f>
        <v/>
      </c>
      <c r="S179" s="267">
        <f>(1-MIN(0,MIN(S104:S104)))</f>
        <v/>
      </c>
      <c r="T179" s="267">
        <f>(1-MIN(0,MIN(T104:T104)))</f>
        <v/>
      </c>
      <c r="U179" s="267">
        <f>(1-MIN(0,MIN(U104:U104)))</f>
        <v/>
      </c>
      <c r="V179" s="267">
        <f>(1-MIN(0,MIN(V104:V104)))</f>
        <v/>
      </c>
    </row>
    <row r="180" hidden="1" outlineLevel="1">
      <c r="A180" s="222" t="inlineStr">
        <is>
          <t xml:space="preserve">  Last Betablocker</t>
        </is>
      </c>
      <c r="G180" s="267">
        <f>(1-MIN(0,MIN(G105:G105)))</f>
        <v/>
      </c>
      <c r="H180" s="267">
        <f>(1-MIN(0,MIN(H105:H105)))</f>
        <v/>
      </c>
      <c r="I180" s="267">
        <f>(1-MIN(0,MIN(I105:I105)))</f>
        <v/>
      </c>
      <c r="J180" s="267">
        <f>(1-MIN(0,MIN(J105:J105)))</f>
        <v/>
      </c>
      <c r="K180" s="267">
        <f>(1-MIN(0,MIN(K105:K105)))</f>
        <v/>
      </c>
      <c r="L180" s="267">
        <f>(1-MIN(0,MIN(L105:L105)))</f>
        <v/>
      </c>
      <c r="M180" s="267">
        <f>(1-MIN(0,MIN(M105:M105)))</f>
        <v/>
      </c>
      <c r="N180" s="267">
        <f>(1-MIN(0,MIN(N105:N105)))</f>
        <v/>
      </c>
      <c r="O180" s="267">
        <f>(1-MIN(0,MIN(O105:O105)))</f>
        <v/>
      </c>
      <c r="P180" s="267">
        <f>(1-MIN(0,MIN(P105:P105)))</f>
        <v/>
      </c>
      <c r="Q180" s="267">
        <f>(1-MIN(0,MIN(Q105:Q105)))</f>
        <v/>
      </c>
      <c r="R180" s="267">
        <f>(1-MIN(0,MIN(R105:R105)))</f>
        <v/>
      </c>
      <c r="S180" s="267">
        <f>(1-MIN(0,MIN(S105:S105)))</f>
        <v/>
      </c>
      <c r="T180" s="267">
        <f>(1-MIN(0,MIN(T105:T105)))</f>
        <v/>
      </c>
      <c r="U180" s="267">
        <f>(1-MIN(0,MIN(U105:U105)))</f>
        <v/>
      </c>
      <c r="V180" s="267">
        <f>(1-MIN(0,MIN(V105:V105)))</f>
        <v/>
      </c>
    </row>
    <row r="181" hidden="1" outlineLevel="1">
      <c r="A181" s="222" t="inlineStr">
        <is>
          <t xml:space="preserve">  Last PDE5-Hemmer</t>
        </is>
      </c>
      <c r="G181" s="267">
        <f>(1-MIN(0,MIN(G106:G106)))</f>
        <v/>
      </c>
      <c r="H181" s="267">
        <f>(1-MIN(0,MIN(H106:H106)))</f>
        <v/>
      </c>
      <c r="I181" s="267">
        <f>(1-MIN(0,MIN(I106:I106)))</f>
        <v/>
      </c>
      <c r="J181" s="267">
        <f>(1-MIN(0,MIN(J106:J106)))</f>
        <v/>
      </c>
      <c r="K181" s="267">
        <f>(1-MIN(0,MIN(K106:K106)))</f>
        <v/>
      </c>
      <c r="L181" s="267">
        <f>(1-MIN(0,MIN(L106:L106)))</f>
        <v/>
      </c>
      <c r="M181" s="267">
        <f>(1-MIN(0,MIN(M106:M106)))</f>
        <v/>
      </c>
      <c r="N181" s="267">
        <f>(1-MIN(0,MIN(N106:N106)))</f>
        <v/>
      </c>
      <c r="O181" s="267">
        <f>(1-MIN(0,MIN(O106:O106)))</f>
        <v/>
      </c>
      <c r="P181" s="267">
        <f>(1-MIN(0,MIN(P106:P106)))</f>
        <v/>
      </c>
      <c r="Q181" s="267">
        <f>(1-MIN(0,MIN(Q106:Q106)))</f>
        <v/>
      </c>
      <c r="R181" s="267">
        <f>(1-MIN(0,MIN(R106:R106)))</f>
        <v/>
      </c>
      <c r="S181" s="267">
        <f>(1-MIN(0,MIN(S106:S106)))</f>
        <v/>
      </c>
      <c r="T181" s="267">
        <f>(1-MIN(0,MIN(T106:T106)))</f>
        <v/>
      </c>
      <c r="U181" s="267">
        <f>(1-MIN(0,MIN(U106:U106)))</f>
        <v/>
      </c>
      <c r="V181" s="267">
        <f>(1-MIN(0,MIN(V106:V106)))</f>
        <v/>
      </c>
    </row>
    <row r="182" hidden="1" outlineLevel="1">
      <c r="A182" s="222" t="inlineStr">
        <is>
          <t xml:space="preserve">  Last Aderlass</t>
        </is>
      </c>
      <c r="G182" s="267">
        <f>(1-MIN(0,MIN(G107:G107)))</f>
        <v/>
      </c>
      <c r="H182" s="267">
        <f>(1-MIN(0,MIN(H107:H107)))</f>
        <v/>
      </c>
      <c r="I182" s="267">
        <f>(1-MIN(0,MIN(I107:I107)))</f>
        <v/>
      </c>
      <c r="J182" s="267">
        <f>(1-MIN(0,MIN(J107:J107)))</f>
        <v/>
      </c>
      <c r="K182" s="267">
        <f>(1-MIN(0,MIN(K107:K107)))</f>
        <v/>
      </c>
      <c r="L182" s="267">
        <f>(1-MIN(0,MIN(L107:L107)))</f>
        <v/>
      </c>
      <c r="M182" s="267">
        <f>(1-MIN(0,MIN(M107:M107)))</f>
        <v/>
      </c>
      <c r="N182" s="267">
        <f>(1-MIN(0,MIN(N107:N107)))</f>
        <v/>
      </c>
      <c r="O182" s="267">
        <f>(1-MIN(0,MIN(O107:O107)))</f>
        <v/>
      </c>
      <c r="P182" s="267">
        <f>(1-MIN(0,MIN(P107:P107)))</f>
        <v/>
      </c>
      <c r="Q182" s="267">
        <f>(1-MIN(0,MIN(Q107:Q107)))</f>
        <v/>
      </c>
      <c r="R182" s="267">
        <f>(1-MIN(0,MIN(R107:R107)))</f>
        <v/>
      </c>
      <c r="S182" s="267">
        <f>(1-MIN(0,MIN(S107:S107)))</f>
        <v/>
      </c>
      <c r="T182" s="267">
        <f>(1-MIN(0,MIN(T107:T107)))</f>
        <v/>
      </c>
      <c r="U182" s="267">
        <f>(1-MIN(0,MIN(U107:U107)))</f>
        <v/>
      </c>
      <c r="V182" s="267">
        <f>(1-MIN(0,MIN(V107:V107)))</f>
        <v/>
      </c>
    </row>
    <row r="183" hidden="1" outlineLevel="1">
      <c r="A183" s="222" t="inlineStr">
        <is>
          <t xml:space="preserve">  Last SGLT2</t>
        </is>
      </c>
      <c r="G183" s="267">
        <f>(1-MIN(0,MIN(G108:G108)))</f>
        <v/>
      </c>
      <c r="H183" s="267">
        <f>(1-MIN(0,MIN(H108:H108)))</f>
        <v/>
      </c>
      <c r="I183" s="267">
        <f>(1-MIN(0,MIN(I108:I108)))</f>
        <v/>
      </c>
      <c r="J183" s="267">
        <f>(1-MIN(0,MIN(J108:J108)))</f>
        <v/>
      </c>
      <c r="K183" s="267">
        <f>(1-MIN(0,MIN(K108:K108)))</f>
        <v/>
      </c>
      <c r="L183" s="267">
        <f>(1-MIN(0,MIN(L108:L108)))</f>
        <v/>
      </c>
      <c r="M183" s="267">
        <f>(1-MIN(0,MIN(M108:M108)))</f>
        <v/>
      </c>
      <c r="N183" s="267">
        <f>(1-MIN(0,MIN(N108:N108)))</f>
        <v/>
      </c>
      <c r="O183" s="267">
        <f>(1-MIN(0,MIN(O108:O108)))</f>
        <v/>
      </c>
      <c r="P183" s="267">
        <f>(1-MIN(0,MIN(P108:P108)))</f>
        <v/>
      </c>
      <c r="Q183" s="267">
        <f>(1-MIN(0,MIN(Q108:Q108)))</f>
        <v/>
      </c>
      <c r="R183" s="267">
        <f>(1-MIN(0,MIN(R108:R108)))</f>
        <v/>
      </c>
      <c r="S183" s="267">
        <f>(1-MIN(0,MIN(S108:S108)))</f>
        <v/>
      </c>
      <c r="T183" s="267">
        <f>(1-MIN(0,MIN(T108:T108)))</f>
        <v/>
      </c>
      <c r="U183" s="267">
        <f>(1-MIN(0,MIN(U108:U108)))</f>
        <v/>
      </c>
      <c r="V183" s="267">
        <f>(1-MIN(0,MIN(V108:V108)))</f>
        <v/>
      </c>
    </row>
    <row r="184" hidden="1" outlineLevel="1">
      <c r="A184" s="222" t="inlineStr">
        <is>
          <t xml:space="preserve">  Last Inkretin</t>
        </is>
      </c>
      <c r="G184" s="267">
        <f>(1-MIN(0,MIN(G109:G109)))</f>
        <v/>
      </c>
      <c r="H184" s="267">
        <f>(1-MIN(0,MIN(H109:H109)))</f>
        <v/>
      </c>
      <c r="I184" s="267">
        <f>(1-MIN(0,MIN(I109:I109)))</f>
        <v/>
      </c>
      <c r="J184" s="267">
        <f>(1-MIN(0,MIN(J109:J109)))</f>
        <v/>
      </c>
      <c r="K184" s="267">
        <f>(1-MIN(0,MIN(K109:K109)))</f>
        <v/>
      </c>
      <c r="L184" s="267">
        <f>(1-MIN(0,MIN(L109:L109)))</f>
        <v/>
      </c>
      <c r="M184" s="267">
        <f>(1-MIN(0,MIN(M109:M109)))</f>
        <v/>
      </c>
      <c r="N184" s="267">
        <f>(1-MIN(0,MIN(N109:N109)))</f>
        <v/>
      </c>
      <c r="O184" s="267">
        <f>(1-MIN(0,MIN(O109:O109)))</f>
        <v/>
      </c>
      <c r="P184" s="267">
        <f>(1-MIN(0,MIN(P109:P109)))</f>
        <v/>
      </c>
      <c r="Q184" s="267">
        <f>(1-MIN(0,MIN(Q109:Q109)))</f>
        <v/>
      </c>
      <c r="R184" s="267">
        <f>(1-MIN(0,MIN(R109:R109)))</f>
        <v/>
      </c>
      <c r="S184" s="267">
        <f>(1-MIN(0,MIN(S109:S109)))</f>
        <v/>
      </c>
      <c r="T184" s="267">
        <f>(1-MIN(0,MIN(T109:T109)))</f>
        <v/>
      </c>
      <c r="U184" s="267">
        <f>(1-MIN(0,MIN(U109:U109)))</f>
        <v/>
      </c>
      <c r="V184" s="267">
        <f>(1-MIN(0,MIN(V109:V109)))</f>
        <v/>
      </c>
    </row>
    <row r="185" hidden="1" outlineLevel="1">
      <c r="A185" s="222" t="inlineStr">
        <is>
          <t xml:space="preserve">  Last Insulinsensitizer</t>
        </is>
      </c>
      <c r="G185" s="267">
        <f>(1-MIN(0,MIN(G110:G110)))</f>
        <v/>
      </c>
      <c r="H185" s="267">
        <f>(1-MIN(0,MIN(H110:H110)))</f>
        <v/>
      </c>
      <c r="I185" s="267">
        <f>(1-MIN(0,MIN(I110:I110)))</f>
        <v/>
      </c>
      <c r="J185" s="267">
        <f>(1-MIN(0,MIN(J110:J110)))</f>
        <v/>
      </c>
      <c r="K185" s="267">
        <f>(1-MIN(0,MIN(K110:K110)))</f>
        <v/>
      </c>
      <c r="L185" s="267">
        <f>(1-MIN(0,MIN(L110:L110)))</f>
        <v/>
      </c>
      <c r="M185" s="267">
        <f>(1-MIN(0,MIN(M110:M110)))</f>
        <v/>
      </c>
      <c r="N185" s="267">
        <f>(1-MIN(0,MIN(N110:N110)))</f>
        <v/>
      </c>
      <c r="O185" s="267">
        <f>(1-MIN(0,MIN(O110:O110)))</f>
        <v/>
      </c>
      <c r="P185" s="267">
        <f>(1-MIN(0,MIN(P110:P110)))</f>
        <v/>
      </c>
      <c r="Q185" s="267">
        <f>(1-MIN(0,MIN(Q110:Q110)))</f>
        <v/>
      </c>
      <c r="R185" s="267">
        <f>(1-MIN(0,MIN(R110:R110)))</f>
        <v/>
      </c>
      <c r="S185" s="267">
        <f>(1-MIN(0,MIN(S110:S110)))</f>
        <v/>
      </c>
      <c r="T185" s="267">
        <f>(1-MIN(0,MIN(T110:T110)))</f>
        <v/>
      </c>
      <c r="U185" s="267">
        <f>(1-MIN(0,MIN(U110:U110)))</f>
        <v/>
      </c>
      <c r="V185" s="267">
        <f>(1-MIN(0,MIN(V110:V110)))</f>
        <v/>
      </c>
    </row>
    <row r="186" hidden="1" outlineLevel="1">
      <c r="A186" s="222" t="inlineStr">
        <is>
          <t xml:space="preserve">  Last Omega-3</t>
        </is>
      </c>
      <c r="G186" s="267">
        <f>(1-MIN(0,MIN(G111:G111)))</f>
        <v/>
      </c>
      <c r="H186" s="267">
        <f>(1-MIN(0,MIN(H111:H111)))</f>
        <v/>
      </c>
      <c r="I186" s="267">
        <f>(1-MIN(0,MIN(I111:I111)))</f>
        <v/>
      </c>
      <c r="J186" s="267">
        <f>(1-MIN(0,MIN(J111:J111)))</f>
        <v/>
      </c>
      <c r="K186" s="267">
        <f>(1-MIN(0,MIN(K111:K111)))</f>
        <v/>
      </c>
      <c r="L186" s="267">
        <f>(1-MIN(0,MIN(L111:L111)))</f>
        <v/>
      </c>
      <c r="M186" s="267">
        <f>(1-MIN(0,MIN(M111:M111)))</f>
        <v/>
      </c>
      <c r="N186" s="267">
        <f>(1-MIN(0,MIN(N111:N111)))</f>
        <v/>
      </c>
      <c r="O186" s="267">
        <f>(1-MIN(0,MIN(O111:O111)))</f>
        <v/>
      </c>
      <c r="P186" s="267">
        <f>(1-MIN(0,MIN(P111:P111)))</f>
        <v/>
      </c>
      <c r="Q186" s="267">
        <f>(1-MIN(0,MIN(Q111:Q111)))</f>
        <v/>
      </c>
      <c r="R186" s="267">
        <f>(1-MIN(0,MIN(R111:R111)))</f>
        <v/>
      </c>
      <c r="S186" s="267">
        <f>(1-MIN(0,MIN(S111:S111)))</f>
        <v/>
      </c>
      <c r="T186" s="267">
        <f>(1-MIN(0,MIN(T111:T111)))</f>
        <v/>
      </c>
      <c r="U186" s="267">
        <f>(1-MIN(0,MIN(U111:U111)))</f>
        <v/>
      </c>
      <c r="V186" s="267">
        <f>(1-MIN(0,MIN(V111:V111)))</f>
        <v/>
      </c>
    </row>
    <row r="187" hidden="1" outlineLevel="1">
      <c r="A187" s="222" t="inlineStr">
        <is>
          <t xml:space="preserve">  Last OTC-Stack</t>
        </is>
      </c>
      <c r="G187" s="267">
        <f>(1-MIN(0,MIN(G112:G112)))</f>
        <v/>
      </c>
      <c r="H187" s="267">
        <f>(1-MIN(0,MIN(H112:H112)))</f>
        <v/>
      </c>
      <c r="I187" s="267">
        <f>(1-MIN(0,MIN(I112:I112)))</f>
        <v/>
      </c>
      <c r="J187" s="267">
        <f>(1-MIN(0,MIN(J112:J112)))</f>
        <v/>
      </c>
      <c r="K187" s="267">
        <f>(1-MIN(0,MIN(K112:K112)))</f>
        <v/>
      </c>
      <c r="L187" s="267">
        <f>(1-MIN(0,MIN(L112:L112)))</f>
        <v/>
      </c>
      <c r="M187" s="267">
        <f>(1-MIN(0,MIN(M112:M112)))</f>
        <v/>
      </c>
      <c r="N187" s="267">
        <f>(1-MIN(0,MIN(N112:N112)))</f>
        <v/>
      </c>
      <c r="O187" s="267">
        <f>(1-MIN(0,MIN(O112:O112)))</f>
        <v/>
      </c>
      <c r="P187" s="267">
        <f>(1-MIN(0,MIN(P112:P112)))</f>
        <v/>
      </c>
      <c r="Q187" s="267">
        <f>(1-MIN(0,MIN(Q112:Q112)))</f>
        <v/>
      </c>
      <c r="R187" s="267">
        <f>(1-MIN(0,MIN(R112:R112)))</f>
        <v/>
      </c>
      <c r="S187" s="267">
        <f>(1-MIN(0,MIN(S112:S112)))</f>
        <v/>
      </c>
      <c r="T187" s="267">
        <f>(1-MIN(0,MIN(T112:T112)))</f>
        <v/>
      </c>
      <c r="U187" s="267">
        <f>(1-MIN(0,MIN(U112:U112)))</f>
        <v/>
      </c>
      <c r="V187" s="267">
        <f>(1-MIN(0,MIN(V112:V112)))</f>
        <v/>
      </c>
    </row>
    <row r="188" hidden="1" outlineLevel="1">
      <c r="A188" s="222" t="inlineStr">
        <is>
          <t xml:space="preserve">  Last Leber-Supplement</t>
        </is>
      </c>
      <c r="G188" s="267">
        <f>(1-MIN(0,MIN(G113:G113)))</f>
        <v/>
      </c>
      <c r="H188" s="267">
        <f>(1-MIN(0,MIN(H113:H113)))</f>
        <v/>
      </c>
      <c r="I188" s="267">
        <f>(1-MIN(0,MIN(I113:I113)))</f>
        <v/>
      </c>
      <c r="J188" s="267">
        <f>(1-MIN(0,MIN(J113:J113)))</f>
        <v/>
      </c>
      <c r="K188" s="267">
        <f>(1-MIN(0,MIN(K113:K113)))</f>
        <v/>
      </c>
      <c r="L188" s="267">
        <f>(1-MIN(0,MIN(L113:L113)))</f>
        <v/>
      </c>
      <c r="M188" s="267">
        <f>(1-MIN(0,MIN(M113:M113)))</f>
        <v/>
      </c>
      <c r="N188" s="267">
        <f>(1-MIN(0,MIN(N113:N113)))</f>
        <v/>
      </c>
      <c r="O188" s="267">
        <f>(1-MIN(0,MIN(O113:O113)))</f>
        <v/>
      </c>
      <c r="P188" s="267">
        <f>(1-MIN(0,MIN(P113:P113)))</f>
        <v/>
      </c>
      <c r="Q188" s="267">
        <f>(1-MIN(0,MIN(Q113:Q113)))</f>
        <v/>
      </c>
      <c r="R188" s="267">
        <f>(1-MIN(0,MIN(R113:R113)))</f>
        <v/>
      </c>
      <c r="S188" s="267">
        <f>(1-MIN(0,MIN(S113:S113)))</f>
        <v/>
      </c>
      <c r="T188" s="267">
        <f>(1-MIN(0,MIN(T113:T113)))</f>
        <v/>
      </c>
      <c r="U188" s="267">
        <f>(1-MIN(0,MIN(U113:U113)))</f>
        <v/>
      </c>
      <c r="V188" s="267">
        <f>(1-MIN(0,MIN(V113:V113)))</f>
        <v/>
      </c>
    </row>
    <row r="189" hidden="1" outlineLevel="1">
      <c r="A189" s="222" t="inlineStr">
        <is>
          <t xml:space="preserve">  Last Lifestyle</t>
        </is>
      </c>
      <c r="G189" s="267">
        <f>(1-MIN(0,MIN(G114:G114)))</f>
        <v/>
      </c>
      <c r="H189" s="267">
        <f>(1-MIN(0,MIN(H114:H114)))</f>
        <v/>
      </c>
      <c r="I189" s="267">
        <f>(1-MIN(0,MIN(I114:I114)))</f>
        <v/>
      </c>
      <c r="J189" s="267">
        <f>(1-MIN(0,MIN(J114:J114)))</f>
        <v/>
      </c>
      <c r="K189" s="267">
        <f>(1-MIN(0,MIN(K114:K114)))</f>
        <v/>
      </c>
      <c r="L189" s="267">
        <f>(1-MIN(0,MIN(L114:L114)))</f>
        <v/>
      </c>
      <c r="M189" s="267">
        <f>(1-MIN(0,MIN(M114:M114)))</f>
        <v/>
      </c>
      <c r="N189" s="267">
        <f>(1-MIN(0,MIN(N114:N114)))</f>
        <v/>
      </c>
      <c r="O189" s="267">
        <f>(1-MIN(0,MIN(O114:O114)))</f>
        <v/>
      </c>
      <c r="P189" s="267">
        <f>(1-MIN(0,MIN(P114:P114)))</f>
        <v/>
      </c>
      <c r="Q189" s="267">
        <f>(1-MIN(0,MIN(Q114:Q114)))</f>
        <v/>
      </c>
      <c r="R189" s="267">
        <f>(1-MIN(0,MIN(R114:R114)))</f>
        <v/>
      </c>
      <c r="S189" s="267">
        <f>(1-MIN(0,MIN(S114:S114)))</f>
        <v/>
      </c>
      <c r="T189" s="267">
        <f>(1-MIN(0,MIN(T114:T114)))</f>
        <v/>
      </c>
      <c r="U189" s="267">
        <f>(1-MIN(0,MIN(U114:U114)))</f>
        <v/>
      </c>
      <c r="V189" s="267">
        <f>(1-MIN(0,MIN(V114:V114)))</f>
        <v/>
      </c>
    </row>
    <row r="190" hidden="1" outlineLevel="1">
      <c r="A190" s="222" t="inlineStr">
        <is>
          <t xml:space="preserve">  Last Ernaehrung</t>
        </is>
      </c>
      <c r="G190" s="267">
        <f>(1-MIN(0,MIN(G115:G115)))</f>
        <v/>
      </c>
      <c r="H190" s="267">
        <f>(1-MIN(0,MIN(H115:H115)))</f>
        <v/>
      </c>
      <c r="I190" s="267">
        <f>(1-MIN(0,MIN(I115:I115)))</f>
        <v/>
      </c>
      <c r="J190" s="267">
        <f>(1-MIN(0,MIN(J115:J115)))</f>
        <v/>
      </c>
      <c r="K190" s="267">
        <f>(1-MIN(0,MIN(K115:K115)))</f>
        <v/>
      </c>
      <c r="L190" s="267">
        <f>(1-MIN(0,MIN(L115:L115)))</f>
        <v/>
      </c>
      <c r="M190" s="267">
        <f>(1-MIN(0,MIN(M115:M115)))</f>
        <v/>
      </c>
      <c r="N190" s="267">
        <f>(1-MIN(0,MIN(N115:N115)))</f>
        <v/>
      </c>
      <c r="O190" s="267">
        <f>(1-MIN(0,MIN(O115:O115)))</f>
        <v/>
      </c>
      <c r="P190" s="267">
        <f>(1-MIN(0,MIN(P115:P115)))</f>
        <v/>
      </c>
      <c r="Q190" s="267">
        <f>(1-MIN(0,MIN(Q115:Q115)))</f>
        <v/>
      </c>
      <c r="R190" s="267">
        <f>(1-MIN(0,MIN(R115:R115)))</f>
        <v/>
      </c>
      <c r="S190" s="267">
        <f>(1-MIN(0,MIN(S115:S115)))</f>
        <v/>
      </c>
      <c r="T190" s="267">
        <f>(1-MIN(0,MIN(T115:T115)))</f>
        <v/>
      </c>
      <c r="U190" s="267">
        <f>(1-MIN(0,MIN(U115:U115)))</f>
        <v/>
      </c>
      <c r="V190" s="267">
        <f>(1-MIN(0,MIN(V115:V115)))</f>
        <v/>
      </c>
    </row>
    <row r="191" hidden="1" outlineLevel="1">
      <c r="A191" s="222" t="inlineStr">
        <is>
          <t xml:space="preserve">  Last Aromatasehemmer</t>
        </is>
      </c>
      <c r="G191" s="267">
        <f>(1-MIN(0,MIN(G116:G116)))</f>
        <v/>
      </c>
      <c r="H191" s="267">
        <f>(1-MIN(0,MIN(H116:H116)))</f>
        <v/>
      </c>
      <c r="I191" s="267">
        <f>(1-MIN(0,MIN(I116:I116)))</f>
        <v/>
      </c>
      <c r="J191" s="267">
        <f>(1-MIN(0,MIN(J116:J116)))</f>
        <v/>
      </c>
      <c r="K191" s="267">
        <f>(1-MIN(0,MIN(K116:K116)))</f>
        <v/>
      </c>
      <c r="L191" s="267">
        <f>(1-MIN(0,MIN(L116:L116)))</f>
        <v/>
      </c>
      <c r="M191" s="267">
        <f>(1-MIN(0,MIN(M116:M116)))</f>
        <v/>
      </c>
      <c r="N191" s="267">
        <f>(1-MIN(0,MIN(N116:N116)))</f>
        <v/>
      </c>
      <c r="O191" s="267">
        <f>(1-MIN(0,MIN(O116:O116)))</f>
        <v/>
      </c>
      <c r="P191" s="267">
        <f>(1-MIN(0,MIN(P116:P116)))</f>
        <v/>
      </c>
      <c r="Q191" s="267">
        <f>(1-MIN(0,MIN(Q116:Q116)))</f>
        <v/>
      </c>
      <c r="R191" s="267">
        <f>(1-MIN(0,MIN(R116:R116)))</f>
        <v/>
      </c>
      <c r="S191" s="267">
        <f>(1-MIN(0,MIN(S116:S116)))</f>
        <v/>
      </c>
      <c r="T191" s="267">
        <f>(1-MIN(0,MIN(T116:T116)))</f>
        <v/>
      </c>
      <c r="U191" s="267">
        <f>(1-MIN(0,MIN(U116:U116)))</f>
        <v/>
      </c>
      <c r="V191" s="267">
        <f>(1-MIN(0,MIN(V116:V116)))</f>
        <v/>
      </c>
    </row>
    <row r="192" hidden="1" outlineLevel="1">
      <c r="A192" s="222" t="inlineStr">
        <is>
          <t xml:space="preserve">  Last 5AR-Hemmer</t>
        </is>
      </c>
      <c r="G192" s="267">
        <f>(1-MIN(0,MIN(G117:G117)))</f>
        <v/>
      </c>
      <c r="H192" s="267">
        <f>(1-MIN(0,MIN(H117:H117)))</f>
        <v/>
      </c>
      <c r="I192" s="267">
        <f>(1-MIN(0,MIN(I117:I117)))</f>
        <v/>
      </c>
      <c r="J192" s="267">
        <f>(1-MIN(0,MIN(J117:J117)))</f>
        <v/>
      </c>
      <c r="K192" s="267">
        <f>(1-MIN(0,MIN(K117:K117)))</f>
        <v/>
      </c>
      <c r="L192" s="267">
        <f>(1-MIN(0,MIN(L117:L117)))</f>
        <v/>
      </c>
      <c r="M192" s="267">
        <f>(1-MIN(0,MIN(M117:M117)))</f>
        <v/>
      </c>
      <c r="N192" s="267">
        <f>(1-MIN(0,MIN(N117:N117)))</f>
        <v/>
      </c>
      <c r="O192" s="267">
        <f>(1-MIN(0,MIN(O117:O117)))</f>
        <v/>
      </c>
      <c r="P192" s="267">
        <f>(1-MIN(0,MIN(P117:P117)))</f>
        <v/>
      </c>
      <c r="Q192" s="267">
        <f>(1-MIN(0,MIN(Q117:Q117)))</f>
        <v/>
      </c>
      <c r="R192" s="267">
        <f>(1-MIN(0,MIN(R117:R117)))</f>
        <v/>
      </c>
      <c r="S192" s="267">
        <f>(1-MIN(0,MIN(S117:S117)))</f>
        <v/>
      </c>
      <c r="T192" s="267">
        <f>(1-MIN(0,MIN(T117:T117)))</f>
        <v/>
      </c>
      <c r="U192" s="267">
        <f>(1-MIN(0,MIN(U117:U117)))</f>
        <v/>
      </c>
      <c r="V192" s="267">
        <f>(1-MIN(0,MIN(V117:V117)))</f>
        <v/>
      </c>
    </row>
    <row r="193" hidden="1" outlineLevel="1">
      <c r="A193" s="222" t="inlineStr">
        <is>
          <t xml:space="preserve">  Last Thrombozytenhemmer</t>
        </is>
      </c>
      <c r="G193" s="267">
        <f>(1-MIN(0,MIN(G118:G118)))</f>
        <v/>
      </c>
      <c r="H193" s="267">
        <f>(1-MIN(0,MIN(H118:H118)))</f>
        <v/>
      </c>
      <c r="I193" s="267">
        <f>(1-MIN(0,MIN(I118:I118)))</f>
        <v/>
      </c>
      <c r="J193" s="267">
        <f>(1-MIN(0,MIN(J118:J118)))</f>
        <v/>
      </c>
      <c r="K193" s="267">
        <f>(1-MIN(0,MIN(K118:K118)))</f>
        <v/>
      </c>
      <c r="L193" s="267">
        <f>(1-MIN(0,MIN(L118:L118)))</f>
        <v/>
      </c>
      <c r="M193" s="267">
        <f>(1-MIN(0,MIN(M118:M118)))</f>
        <v/>
      </c>
      <c r="N193" s="267">
        <f>(1-MIN(0,MIN(N118:N118)))</f>
        <v/>
      </c>
      <c r="O193" s="267">
        <f>(1-MIN(0,MIN(O118:O118)))</f>
        <v/>
      </c>
      <c r="P193" s="267">
        <f>(1-MIN(0,MIN(P118:P118)))</f>
        <v/>
      </c>
      <c r="Q193" s="267">
        <f>(1-MIN(0,MIN(Q118:Q118)))</f>
        <v/>
      </c>
      <c r="R193" s="267">
        <f>(1-MIN(0,MIN(R118:R118)))</f>
        <v/>
      </c>
      <c r="S193" s="267">
        <f>(1-MIN(0,MIN(S118:S118)))</f>
        <v/>
      </c>
      <c r="T193" s="267">
        <f>(1-MIN(0,MIN(T118:T118)))</f>
        <v/>
      </c>
      <c r="U193" s="267">
        <f>(1-MIN(0,MIN(U118:U118)))</f>
        <v/>
      </c>
      <c r="V193" s="267">
        <f>(1-MIN(0,MIN(V118:V118)))</f>
        <v/>
      </c>
    </row>
    <row r="194" hidden="1" outlineLevel="1">
      <c r="A194" s="222" t="inlineStr">
        <is>
          <t xml:space="preserve">  Last Prolaktin</t>
        </is>
      </c>
      <c r="G194" s="267">
        <f>(1-MIN(0,MIN(G119:G119)))</f>
        <v/>
      </c>
      <c r="H194" s="267">
        <f>(1-MIN(0,MIN(H119:H119)))</f>
        <v/>
      </c>
      <c r="I194" s="267">
        <f>(1-MIN(0,MIN(I119:I119)))</f>
        <v/>
      </c>
      <c r="J194" s="267">
        <f>(1-MIN(0,MIN(J119:J119)))</f>
        <v/>
      </c>
      <c r="K194" s="267">
        <f>(1-MIN(0,MIN(K119:K119)))</f>
        <v/>
      </c>
      <c r="L194" s="267">
        <f>(1-MIN(0,MIN(L119:L119)))</f>
        <v/>
      </c>
      <c r="M194" s="267">
        <f>(1-MIN(0,MIN(M119:M119)))</f>
        <v/>
      </c>
      <c r="N194" s="267">
        <f>(1-MIN(0,MIN(N119:N119)))</f>
        <v/>
      </c>
      <c r="O194" s="267">
        <f>(1-MIN(0,MIN(O119:O119)))</f>
        <v/>
      </c>
      <c r="P194" s="267">
        <f>(1-MIN(0,MIN(P119:P119)))</f>
        <v/>
      </c>
      <c r="Q194" s="267">
        <f>(1-MIN(0,MIN(Q119:Q119)))</f>
        <v/>
      </c>
      <c r="R194" s="267">
        <f>(1-MIN(0,MIN(R119:R119)))</f>
        <v/>
      </c>
      <c r="S194" s="267">
        <f>(1-MIN(0,MIN(S119:S119)))</f>
        <v/>
      </c>
      <c r="T194" s="267">
        <f>(1-MIN(0,MIN(T119:T119)))</f>
        <v/>
      </c>
      <c r="U194" s="267">
        <f>(1-MIN(0,MIN(U119:U119)))</f>
        <v/>
      </c>
      <c r="V194" s="267">
        <f>(1-MIN(0,MIN(V119:V119)))</f>
        <v/>
      </c>
    </row>
    <row r="195" hidden="1" outlineLevel="1">
      <c r="A195" s="222" t="inlineStr">
        <is>
          <t xml:space="preserve">  Last SERM</t>
        </is>
      </c>
      <c r="G195" s="267">
        <f>(1-MIN(0,MIN(G120:G120)))</f>
        <v/>
      </c>
      <c r="H195" s="267">
        <f>(1-MIN(0,MIN(H120:H120)))</f>
        <v/>
      </c>
      <c r="I195" s="267">
        <f>(1-MIN(0,MIN(I120:I120)))</f>
        <v/>
      </c>
      <c r="J195" s="267">
        <f>(1-MIN(0,MIN(J120:J120)))</f>
        <v/>
      </c>
      <c r="K195" s="267">
        <f>(1-MIN(0,MIN(K120:K120)))</f>
        <v/>
      </c>
      <c r="L195" s="267">
        <f>(1-MIN(0,MIN(L120:L120)))</f>
        <v/>
      </c>
      <c r="M195" s="267">
        <f>(1-MIN(0,MIN(M120:M120)))</f>
        <v/>
      </c>
      <c r="N195" s="267">
        <f>(1-MIN(0,MIN(N120:N120)))</f>
        <v/>
      </c>
      <c r="O195" s="267">
        <f>(1-MIN(0,MIN(O120:O120)))</f>
        <v/>
      </c>
      <c r="P195" s="267">
        <f>(1-MIN(0,MIN(P120:P120)))</f>
        <v/>
      </c>
      <c r="Q195" s="267">
        <f>(1-MIN(0,MIN(Q120:Q120)))</f>
        <v/>
      </c>
      <c r="R195" s="267">
        <f>(1-MIN(0,MIN(R120:R120)))</f>
        <v/>
      </c>
      <c r="S195" s="267">
        <f>(1-MIN(0,MIN(S120:S120)))</f>
        <v/>
      </c>
      <c r="T195" s="267">
        <f>(1-MIN(0,MIN(T120:T120)))</f>
        <v/>
      </c>
      <c r="U195" s="267">
        <f>(1-MIN(0,MIN(U120:U120)))</f>
        <v/>
      </c>
      <c r="V195" s="267">
        <f>(1-MIN(0,MIN(V120:V120)))</f>
        <v/>
      </c>
    </row>
    <row r="196" hidden="1" outlineLevel="1">
      <c r="A196" s="222" t="inlineStr">
        <is>
          <t xml:space="preserve">  Last Basis</t>
        </is>
      </c>
      <c r="G196" s="267">
        <f>(1-MIN(0,MIN(G121:G121)))</f>
        <v/>
      </c>
      <c r="H196" s="267">
        <f>(1-MIN(0,MIN(H121:H121)))</f>
        <v/>
      </c>
      <c r="I196" s="267">
        <f>(1-MIN(0,MIN(I121:I121)))</f>
        <v/>
      </c>
      <c r="J196" s="267">
        <f>(1-MIN(0,MIN(J121:J121)))</f>
        <v/>
      </c>
      <c r="K196" s="267">
        <f>(1-MIN(0,MIN(K121:K121)))</f>
        <v/>
      </c>
      <c r="L196" s="267">
        <f>(1-MIN(0,MIN(L121:L121)))</f>
        <v/>
      </c>
      <c r="M196" s="267">
        <f>(1-MIN(0,MIN(M121:M121)))</f>
        <v/>
      </c>
      <c r="N196" s="267">
        <f>(1-MIN(0,MIN(N121:N121)))</f>
        <v/>
      </c>
      <c r="O196" s="267">
        <f>(1-MIN(0,MIN(O121:O121)))</f>
        <v/>
      </c>
      <c r="P196" s="267">
        <f>(1-MIN(0,MIN(P121:P121)))</f>
        <v/>
      </c>
      <c r="Q196" s="267">
        <f>(1-MIN(0,MIN(Q121:Q121)))</f>
        <v/>
      </c>
      <c r="R196" s="267">
        <f>(1-MIN(0,MIN(R121:R121)))</f>
        <v/>
      </c>
      <c r="S196" s="267">
        <f>(1-MIN(0,MIN(S121:S121)))</f>
        <v/>
      </c>
      <c r="T196" s="267">
        <f>(1-MIN(0,MIN(T121:T121)))</f>
        <v/>
      </c>
      <c r="U196" s="267">
        <f>(1-MIN(0,MIN(U121:U121)))</f>
        <v/>
      </c>
      <c r="V196" s="267">
        <f>(1-MIN(0,MIN(V121:V121)))</f>
        <v/>
      </c>
    </row>
    <row r="197" hidden="1" outlineLevel="1">
      <c r="A197" s="222" t="inlineStr">
        <is>
          <t xml:space="preserve">  Last 19-Nor</t>
        </is>
      </c>
      <c r="G197" s="267">
        <f>(1-MIN(0,MIN(G122:G123)))</f>
        <v/>
      </c>
      <c r="H197" s="267">
        <f>(1-MIN(0,MIN(H122:H123)))</f>
        <v/>
      </c>
      <c r="I197" s="267">
        <f>(1-MIN(0,MIN(I122:I123)))</f>
        <v/>
      </c>
      <c r="J197" s="267">
        <f>(1-MIN(0,MIN(J122:J123)))</f>
        <v/>
      </c>
      <c r="K197" s="267">
        <f>(1-MIN(0,MIN(K122:K123)))</f>
        <v/>
      </c>
      <c r="L197" s="267">
        <f>(1-MIN(0,MIN(L122:L123)))</f>
        <v/>
      </c>
      <c r="M197" s="267">
        <f>(1-MIN(0,MIN(M122:M123)))</f>
        <v/>
      </c>
      <c r="N197" s="267">
        <f>(1-MIN(0,MIN(N122:N123)))</f>
        <v/>
      </c>
      <c r="O197" s="267">
        <f>(1-MIN(0,MIN(O122:O123)))</f>
        <v/>
      </c>
      <c r="P197" s="267">
        <f>(1-MIN(0,MIN(P122:P123)))</f>
        <v/>
      </c>
      <c r="Q197" s="267">
        <f>(1-MIN(0,MIN(Q122:Q123)))</f>
        <v/>
      </c>
      <c r="R197" s="267">
        <f>(1-MIN(0,MIN(R122:R123)))</f>
        <v/>
      </c>
      <c r="S197" s="267">
        <f>(1-MIN(0,MIN(S122:S123)))</f>
        <v/>
      </c>
      <c r="T197" s="267">
        <f>(1-MIN(0,MIN(T122:T123)))</f>
        <v/>
      </c>
      <c r="U197" s="267">
        <f>(1-MIN(0,MIN(U122:U123)))</f>
        <v/>
      </c>
      <c r="V197" s="267">
        <f>(1-MIN(0,MIN(V122:V123)))</f>
        <v/>
      </c>
    </row>
    <row r="198" hidden="1" outlineLevel="1">
      <c r="A198" s="222" t="inlineStr">
        <is>
          <t xml:space="preserve">  Last Sonstige AAS</t>
        </is>
      </c>
      <c r="G198" s="267">
        <f>(1-MIN(0,MIN(G124:G124)))</f>
        <v/>
      </c>
      <c r="H198" s="267">
        <f>(1-MIN(0,MIN(H124:H124)))</f>
        <v/>
      </c>
      <c r="I198" s="267">
        <f>(1-MIN(0,MIN(I124:I124)))</f>
        <v/>
      </c>
      <c r="J198" s="267">
        <f>(1-MIN(0,MIN(J124:J124)))</f>
        <v/>
      </c>
      <c r="K198" s="267">
        <f>(1-MIN(0,MIN(K124:K124)))</f>
        <v/>
      </c>
      <c r="L198" s="267">
        <f>(1-MIN(0,MIN(L124:L124)))</f>
        <v/>
      </c>
      <c r="M198" s="267">
        <f>(1-MIN(0,MIN(M124:M124)))</f>
        <v/>
      </c>
      <c r="N198" s="267">
        <f>(1-MIN(0,MIN(N124:N124)))</f>
        <v/>
      </c>
      <c r="O198" s="267">
        <f>(1-MIN(0,MIN(O124:O124)))</f>
        <v/>
      </c>
      <c r="P198" s="267">
        <f>(1-MIN(0,MIN(P124:P124)))</f>
        <v/>
      </c>
      <c r="Q198" s="267">
        <f>(1-MIN(0,MIN(Q124:Q124)))</f>
        <v/>
      </c>
      <c r="R198" s="267">
        <f>(1-MIN(0,MIN(R124:R124)))</f>
        <v/>
      </c>
      <c r="S198" s="267">
        <f>(1-MIN(0,MIN(S124:S124)))</f>
        <v/>
      </c>
      <c r="T198" s="267">
        <f>(1-MIN(0,MIN(T124:T124)))</f>
        <v/>
      </c>
      <c r="U198" s="267">
        <f>(1-MIN(0,MIN(U124:U124)))</f>
        <v/>
      </c>
      <c r="V198" s="267">
        <f>(1-MIN(0,MIN(V124:V124)))</f>
        <v/>
      </c>
    </row>
    <row r="199" hidden="1" outlineLevel="1">
      <c r="A199" s="222" t="inlineStr">
        <is>
          <t xml:space="preserve">  Last DHT-Derivat</t>
        </is>
      </c>
      <c r="G199" s="267">
        <f>(1-MIN(0,MIN(G125:G126)))</f>
        <v/>
      </c>
      <c r="H199" s="267">
        <f>(1-MIN(0,MIN(H125:H126)))</f>
        <v/>
      </c>
      <c r="I199" s="267">
        <f>(1-MIN(0,MIN(I125:I126)))</f>
        <v/>
      </c>
      <c r="J199" s="267">
        <f>(1-MIN(0,MIN(J125:J126)))</f>
        <v/>
      </c>
      <c r="K199" s="267">
        <f>(1-MIN(0,MIN(K125:K126)))</f>
        <v/>
      </c>
      <c r="L199" s="267">
        <f>(1-MIN(0,MIN(L125:L126)))</f>
        <v/>
      </c>
      <c r="M199" s="267">
        <f>(1-MIN(0,MIN(M125:M126)))</f>
        <v/>
      </c>
      <c r="N199" s="267">
        <f>(1-MIN(0,MIN(N125:N126)))</f>
        <v/>
      </c>
      <c r="O199" s="267">
        <f>(1-MIN(0,MIN(O125:O126)))</f>
        <v/>
      </c>
      <c r="P199" s="267">
        <f>(1-MIN(0,MIN(P125:P126)))</f>
        <v/>
      </c>
      <c r="Q199" s="267">
        <f>(1-MIN(0,MIN(Q125:Q126)))</f>
        <v/>
      </c>
      <c r="R199" s="267">
        <f>(1-MIN(0,MIN(R125:R126)))</f>
        <v/>
      </c>
      <c r="S199" s="267">
        <f>(1-MIN(0,MIN(S125:S126)))</f>
        <v/>
      </c>
      <c r="T199" s="267">
        <f>(1-MIN(0,MIN(T125:T126)))</f>
        <v/>
      </c>
      <c r="U199" s="267">
        <f>(1-MIN(0,MIN(U125:U126)))</f>
        <v/>
      </c>
      <c r="V199" s="267">
        <f>(1-MIN(0,MIN(V125:V126)))</f>
        <v/>
      </c>
    </row>
    <row r="200" hidden="1" outlineLevel="1">
      <c r="A200" s="222" t="inlineStr">
        <is>
          <t xml:space="preserve">  Last Oral 17-aa</t>
        </is>
      </c>
      <c r="G200" s="267">
        <f>(1-MIN(0,MIN(G127:G131)))</f>
        <v/>
      </c>
      <c r="H200" s="267">
        <f>(1-MIN(0,MIN(H127:H131)))</f>
        <v/>
      </c>
      <c r="I200" s="267">
        <f>(1-MIN(0,MIN(I127:I131)))</f>
        <v/>
      </c>
      <c r="J200" s="267">
        <f>(1-MIN(0,MIN(J127:J131)))</f>
        <v/>
      </c>
      <c r="K200" s="267">
        <f>(1-MIN(0,MIN(K127:K131)))</f>
        <v/>
      </c>
      <c r="L200" s="267">
        <f>(1-MIN(0,MIN(L127:L131)))</f>
        <v/>
      </c>
      <c r="M200" s="267">
        <f>(1-MIN(0,MIN(M127:M131)))</f>
        <v/>
      </c>
      <c r="N200" s="267">
        <f>(1-MIN(0,MIN(N127:N131)))</f>
        <v/>
      </c>
      <c r="O200" s="267">
        <f>(1-MIN(0,MIN(O127:O131)))</f>
        <v/>
      </c>
      <c r="P200" s="267">
        <f>(1-MIN(0,MIN(P127:P131)))</f>
        <v/>
      </c>
      <c r="Q200" s="267">
        <f>(1-MIN(0,MIN(Q127:Q131)))</f>
        <v/>
      </c>
      <c r="R200" s="267">
        <f>(1-MIN(0,MIN(R127:R131)))</f>
        <v/>
      </c>
      <c r="S200" s="267">
        <f>(1-MIN(0,MIN(S127:S131)))</f>
        <v/>
      </c>
      <c r="T200" s="267">
        <f>(1-MIN(0,MIN(T127:T131)))</f>
        <v/>
      </c>
      <c r="U200" s="267">
        <f>(1-MIN(0,MIN(U127:U131)))</f>
        <v/>
      </c>
      <c r="V200" s="267">
        <f>(1-MIN(0,MIN(V127:V131)))</f>
        <v/>
      </c>
    </row>
    <row r="201" hidden="1" outlineLevel="1">
      <c r="A201" s="222" t="inlineStr">
        <is>
          <t xml:space="preserve">  Last SARM</t>
        </is>
      </c>
      <c r="G201" s="267">
        <f>(1-MIN(0,MIN(G132:G132)))</f>
        <v/>
      </c>
      <c r="H201" s="267">
        <f>(1-MIN(0,MIN(H132:H132)))</f>
        <v/>
      </c>
      <c r="I201" s="267">
        <f>(1-MIN(0,MIN(I132:I132)))</f>
        <v/>
      </c>
      <c r="J201" s="267">
        <f>(1-MIN(0,MIN(J132:J132)))</f>
        <v/>
      </c>
      <c r="K201" s="267">
        <f>(1-MIN(0,MIN(K132:K132)))</f>
        <v/>
      </c>
      <c r="L201" s="267">
        <f>(1-MIN(0,MIN(L132:L132)))</f>
        <v/>
      </c>
      <c r="M201" s="267">
        <f>(1-MIN(0,MIN(M132:M132)))</f>
        <v/>
      </c>
      <c r="N201" s="267">
        <f>(1-MIN(0,MIN(N132:N132)))</f>
        <v/>
      </c>
      <c r="O201" s="267">
        <f>(1-MIN(0,MIN(O132:O132)))</f>
        <v/>
      </c>
      <c r="P201" s="267">
        <f>(1-MIN(0,MIN(P132:P132)))</f>
        <v/>
      </c>
      <c r="Q201" s="267">
        <f>(1-MIN(0,MIN(Q132:Q132)))</f>
        <v/>
      </c>
      <c r="R201" s="267">
        <f>(1-MIN(0,MIN(R132:R132)))</f>
        <v/>
      </c>
      <c r="S201" s="267">
        <f>(1-MIN(0,MIN(S132:S132)))</f>
        <v/>
      </c>
      <c r="T201" s="267">
        <f>(1-MIN(0,MIN(T132:T132)))</f>
        <v/>
      </c>
      <c r="U201" s="267">
        <f>(1-MIN(0,MIN(U132:U132)))</f>
        <v/>
      </c>
      <c r="V201" s="267">
        <f>(1-MIN(0,MIN(V132:V132)))</f>
        <v/>
      </c>
    </row>
    <row r="202" hidden="1" outlineLevel="1">
      <c r="A202" s="222" t="inlineStr">
        <is>
          <t xml:space="preserve">  Last Peptidhormon</t>
        </is>
      </c>
      <c r="G202" s="267">
        <f>(1-MIN(0,MIN(G133:G133)))</f>
        <v/>
      </c>
      <c r="H202" s="267">
        <f>(1-MIN(0,MIN(H133:H133)))</f>
        <v/>
      </c>
      <c r="I202" s="267">
        <f>(1-MIN(0,MIN(I133:I133)))</f>
        <v/>
      </c>
      <c r="J202" s="267">
        <f>(1-MIN(0,MIN(J133:J133)))</f>
        <v/>
      </c>
      <c r="K202" s="267">
        <f>(1-MIN(0,MIN(K133:K133)))</f>
        <v/>
      </c>
      <c r="L202" s="267">
        <f>(1-MIN(0,MIN(L133:L133)))</f>
        <v/>
      </c>
      <c r="M202" s="267">
        <f>(1-MIN(0,MIN(M133:M133)))</f>
        <v/>
      </c>
      <c r="N202" s="267">
        <f>(1-MIN(0,MIN(N133:N133)))</f>
        <v/>
      </c>
      <c r="O202" s="267">
        <f>(1-MIN(0,MIN(O133:O133)))</f>
        <v/>
      </c>
      <c r="P202" s="267">
        <f>(1-MIN(0,MIN(P133:P133)))</f>
        <v/>
      </c>
      <c r="Q202" s="267">
        <f>(1-MIN(0,MIN(Q133:Q133)))</f>
        <v/>
      </c>
      <c r="R202" s="267">
        <f>(1-MIN(0,MIN(R133:R133)))</f>
        <v/>
      </c>
      <c r="S202" s="267">
        <f>(1-MIN(0,MIN(S133:S133)))</f>
        <v/>
      </c>
      <c r="T202" s="267">
        <f>(1-MIN(0,MIN(T133:T133)))</f>
        <v/>
      </c>
      <c r="U202" s="267">
        <f>(1-MIN(0,MIN(U133:U133)))</f>
        <v/>
      </c>
      <c r="V202" s="267">
        <f>(1-MIN(0,MIN(V133:V133)))</f>
        <v/>
      </c>
    </row>
    <row r="203" hidden="1" outlineLevel="1">
      <c r="A203" s="222" t="inlineStr">
        <is>
          <t xml:space="preserve">  Last Insulin</t>
        </is>
      </c>
      <c r="G203" s="267">
        <f>(1-MIN(0,MIN(G134:G134)))</f>
        <v/>
      </c>
      <c r="H203" s="267">
        <f>(1-MIN(0,MIN(H134:H134)))</f>
        <v/>
      </c>
      <c r="I203" s="267">
        <f>(1-MIN(0,MIN(I134:I134)))</f>
        <v/>
      </c>
      <c r="J203" s="267">
        <f>(1-MIN(0,MIN(J134:J134)))</f>
        <v/>
      </c>
      <c r="K203" s="267">
        <f>(1-MIN(0,MIN(K134:K134)))</f>
        <v/>
      </c>
      <c r="L203" s="267">
        <f>(1-MIN(0,MIN(L134:L134)))</f>
        <v/>
      </c>
      <c r="M203" s="267">
        <f>(1-MIN(0,MIN(M134:M134)))</f>
        <v/>
      </c>
      <c r="N203" s="267">
        <f>(1-MIN(0,MIN(N134:N134)))</f>
        <v/>
      </c>
      <c r="O203" s="267">
        <f>(1-MIN(0,MIN(O134:O134)))</f>
        <v/>
      </c>
      <c r="P203" s="267">
        <f>(1-MIN(0,MIN(P134:P134)))</f>
        <v/>
      </c>
      <c r="Q203" s="267">
        <f>(1-MIN(0,MIN(Q134:Q134)))</f>
        <v/>
      </c>
      <c r="R203" s="267">
        <f>(1-MIN(0,MIN(R134:R134)))</f>
        <v/>
      </c>
      <c r="S203" s="267">
        <f>(1-MIN(0,MIN(S134:S134)))</f>
        <v/>
      </c>
      <c r="T203" s="267">
        <f>(1-MIN(0,MIN(T134:T134)))</f>
        <v/>
      </c>
      <c r="U203" s="267">
        <f>(1-MIN(0,MIN(U134:U134)))</f>
        <v/>
      </c>
      <c r="V203" s="267">
        <f>(1-MIN(0,MIN(V134:V134)))</f>
        <v/>
      </c>
    </row>
    <row r="204" hidden="1" outlineLevel="1">
      <c r="A204" s="222" t="inlineStr">
        <is>
          <t xml:space="preserve">  Last Beta-2-Agonist</t>
        </is>
      </c>
      <c r="G204" s="267">
        <f>(1-MIN(0,MIN(G135:G135)))</f>
        <v/>
      </c>
      <c r="H204" s="267">
        <f>(1-MIN(0,MIN(H135:H135)))</f>
        <v/>
      </c>
      <c r="I204" s="267">
        <f>(1-MIN(0,MIN(I135:I135)))</f>
        <v/>
      </c>
      <c r="J204" s="267">
        <f>(1-MIN(0,MIN(J135:J135)))</f>
        <v/>
      </c>
      <c r="K204" s="267">
        <f>(1-MIN(0,MIN(K135:K135)))</f>
        <v/>
      </c>
      <c r="L204" s="267">
        <f>(1-MIN(0,MIN(L135:L135)))</f>
        <v/>
      </c>
      <c r="M204" s="267">
        <f>(1-MIN(0,MIN(M135:M135)))</f>
        <v/>
      </c>
      <c r="N204" s="267">
        <f>(1-MIN(0,MIN(N135:N135)))</f>
        <v/>
      </c>
      <c r="O204" s="267">
        <f>(1-MIN(0,MIN(O135:O135)))</f>
        <v/>
      </c>
      <c r="P204" s="267">
        <f>(1-MIN(0,MIN(P135:P135)))</f>
        <v/>
      </c>
      <c r="Q204" s="267">
        <f>(1-MIN(0,MIN(Q135:Q135)))</f>
        <v/>
      </c>
      <c r="R204" s="267">
        <f>(1-MIN(0,MIN(R135:R135)))</f>
        <v/>
      </c>
      <c r="S204" s="267">
        <f>(1-MIN(0,MIN(S135:S135)))</f>
        <v/>
      </c>
      <c r="T204" s="267">
        <f>(1-MIN(0,MIN(T135:T135)))</f>
        <v/>
      </c>
      <c r="U204" s="267">
        <f>(1-MIN(0,MIN(U135:U135)))</f>
        <v/>
      </c>
      <c r="V204" s="267">
        <f>(1-MIN(0,MIN(V135:V135)))</f>
        <v/>
      </c>
    </row>
    <row r="205" hidden="1" outlineLevel="1">
      <c r="A205" s="222" t="inlineStr">
        <is>
          <t xml:space="preserve">  Last Schilddruesenhormon</t>
        </is>
      </c>
      <c r="G205" s="267">
        <f>(1-MIN(0,MIN(G136:G136)))</f>
        <v/>
      </c>
      <c r="H205" s="267">
        <f>(1-MIN(0,MIN(H136:H136)))</f>
        <v/>
      </c>
      <c r="I205" s="267">
        <f>(1-MIN(0,MIN(I136:I136)))</f>
        <v/>
      </c>
      <c r="J205" s="267">
        <f>(1-MIN(0,MIN(J136:J136)))</f>
        <v/>
      </c>
      <c r="K205" s="267">
        <f>(1-MIN(0,MIN(K136:K136)))</f>
        <v/>
      </c>
      <c r="L205" s="267">
        <f>(1-MIN(0,MIN(L136:L136)))</f>
        <v/>
      </c>
      <c r="M205" s="267">
        <f>(1-MIN(0,MIN(M136:M136)))</f>
        <v/>
      </c>
      <c r="N205" s="267">
        <f>(1-MIN(0,MIN(N136:N136)))</f>
        <v/>
      </c>
      <c r="O205" s="267">
        <f>(1-MIN(0,MIN(O136:O136)))</f>
        <v/>
      </c>
      <c r="P205" s="267">
        <f>(1-MIN(0,MIN(P136:P136)))</f>
        <v/>
      </c>
      <c r="Q205" s="267">
        <f>(1-MIN(0,MIN(Q136:Q136)))</f>
        <v/>
      </c>
      <c r="R205" s="267">
        <f>(1-MIN(0,MIN(R136:R136)))</f>
        <v/>
      </c>
      <c r="S205" s="267">
        <f>(1-MIN(0,MIN(S136:S136)))</f>
        <v/>
      </c>
      <c r="T205" s="267">
        <f>(1-MIN(0,MIN(T136:T136)))</f>
        <v/>
      </c>
      <c r="U205" s="267">
        <f>(1-MIN(0,MIN(U136:U136)))</f>
        <v/>
      </c>
      <c r="V205" s="267">
        <f>(1-MIN(0,MIN(V136:V136)))</f>
        <v/>
      </c>
    </row>
    <row r="206" hidden="1" outlineLevel="1">
      <c r="A206" s="222" t="inlineStr">
        <is>
          <t xml:space="preserve">  Last Entkoppler</t>
        </is>
      </c>
      <c r="G206" s="267">
        <f>(1-MIN(0,MIN(G137:G137)))</f>
        <v/>
      </c>
      <c r="H206" s="267">
        <f>(1-MIN(0,MIN(H137:H137)))</f>
        <v/>
      </c>
      <c r="I206" s="267">
        <f>(1-MIN(0,MIN(I137:I137)))</f>
        <v/>
      </c>
      <c r="J206" s="267">
        <f>(1-MIN(0,MIN(J137:J137)))</f>
        <v/>
      </c>
      <c r="K206" s="267">
        <f>(1-MIN(0,MIN(K137:K137)))</f>
        <v/>
      </c>
      <c r="L206" s="267">
        <f>(1-MIN(0,MIN(L137:L137)))</f>
        <v/>
      </c>
      <c r="M206" s="267">
        <f>(1-MIN(0,MIN(M137:M137)))</f>
        <v/>
      </c>
      <c r="N206" s="267">
        <f>(1-MIN(0,MIN(N137:N137)))</f>
        <v/>
      </c>
      <c r="O206" s="267">
        <f>(1-MIN(0,MIN(O137:O137)))</f>
        <v/>
      </c>
      <c r="P206" s="267">
        <f>(1-MIN(0,MIN(P137:P137)))</f>
        <v/>
      </c>
      <c r="Q206" s="267">
        <f>(1-MIN(0,MIN(Q137:Q137)))</f>
        <v/>
      </c>
      <c r="R206" s="267">
        <f>(1-MIN(0,MIN(R137:R137)))</f>
        <v/>
      </c>
      <c r="S206" s="267">
        <f>(1-MIN(0,MIN(S137:S137)))</f>
        <v/>
      </c>
      <c r="T206" s="267">
        <f>(1-MIN(0,MIN(T137:T137)))</f>
        <v/>
      </c>
      <c r="U206" s="267">
        <f>(1-MIN(0,MIN(U137:U137)))</f>
        <v/>
      </c>
      <c r="V206" s="267">
        <f>(1-MIN(0,MIN(V137:V137)))</f>
        <v/>
      </c>
    </row>
    <row r="207" hidden="1" outlineLevel="1">
      <c r="A207" s="222" t="inlineStr">
        <is>
          <t xml:space="preserve">  Last Rauchen</t>
        </is>
      </c>
      <c r="G207" s="267">
        <f>(1-MIN(0,MIN(G138:G138)))</f>
        <v/>
      </c>
      <c r="H207" s="267">
        <f>(1-MIN(0,MIN(H138:H138)))</f>
        <v/>
      </c>
      <c r="I207" s="267">
        <f>(1-MIN(0,MIN(I138:I138)))</f>
        <v/>
      </c>
      <c r="J207" s="267">
        <f>(1-MIN(0,MIN(J138:J138)))</f>
        <v/>
      </c>
      <c r="K207" s="267">
        <f>(1-MIN(0,MIN(K138:K138)))</f>
        <v/>
      </c>
      <c r="L207" s="267">
        <f>(1-MIN(0,MIN(L138:L138)))</f>
        <v/>
      </c>
      <c r="M207" s="267">
        <f>(1-MIN(0,MIN(M138:M138)))</f>
        <v/>
      </c>
      <c r="N207" s="267">
        <f>(1-MIN(0,MIN(N138:N138)))</f>
        <v/>
      </c>
      <c r="O207" s="267">
        <f>(1-MIN(0,MIN(O138:O138)))</f>
        <v/>
      </c>
      <c r="P207" s="267">
        <f>(1-MIN(0,MIN(P138:P138)))</f>
        <v/>
      </c>
      <c r="Q207" s="267">
        <f>(1-MIN(0,MIN(Q138:Q138)))</f>
        <v/>
      </c>
      <c r="R207" s="267">
        <f>(1-MIN(0,MIN(R138:R138)))</f>
        <v/>
      </c>
      <c r="S207" s="267">
        <f>(1-MIN(0,MIN(S138:S138)))</f>
        <v/>
      </c>
      <c r="T207" s="267">
        <f>(1-MIN(0,MIN(T138:T138)))</f>
        <v/>
      </c>
      <c r="U207" s="267">
        <f>(1-MIN(0,MIN(U138:U138)))</f>
        <v/>
      </c>
      <c r="V207" s="267">
        <f>(1-MIN(0,MIN(V138:V138)))</f>
        <v/>
      </c>
    </row>
    <row r="208" hidden="1" outlineLevel="1">
      <c r="A208" s="222" t="inlineStr">
        <is>
          <t xml:space="preserve">  Last Alkohol</t>
        </is>
      </c>
      <c r="G208" s="267">
        <f>(1-MIN(0,MIN(G139:G139)))</f>
        <v/>
      </c>
      <c r="H208" s="267">
        <f>(1-MIN(0,MIN(H139:H139)))</f>
        <v/>
      </c>
      <c r="I208" s="267">
        <f>(1-MIN(0,MIN(I139:I139)))</f>
        <v/>
      </c>
      <c r="J208" s="267">
        <f>(1-MIN(0,MIN(J139:J139)))</f>
        <v/>
      </c>
      <c r="K208" s="267">
        <f>(1-MIN(0,MIN(K139:K139)))</f>
        <v/>
      </c>
      <c r="L208" s="267">
        <f>(1-MIN(0,MIN(L139:L139)))</f>
        <v/>
      </c>
      <c r="M208" s="267">
        <f>(1-MIN(0,MIN(M139:M139)))</f>
        <v/>
      </c>
      <c r="N208" s="267">
        <f>(1-MIN(0,MIN(N139:N139)))</f>
        <v/>
      </c>
      <c r="O208" s="267">
        <f>(1-MIN(0,MIN(O139:O139)))</f>
        <v/>
      </c>
      <c r="P208" s="267">
        <f>(1-MIN(0,MIN(P139:P139)))</f>
        <v/>
      </c>
      <c r="Q208" s="267">
        <f>(1-MIN(0,MIN(Q139:Q139)))</f>
        <v/>
      </c>
      <c r="R208" s="267">
        <f>(1-MIN(0,MIN(R139:R139)))</f>
        <v/>
      </c>
      <c r="S208" s="267">
        <f>(1-MIN(0,MIN(S139:S139)))</f>
        <v/>
      </c>
      <c r="T208" s="267">
        <f>(1-MIN(0,MIN(T139:T139)))</f>
        <v/>
      </c>
      <c r="U208" s="267">
        <f>(1-MIN(0,MIN(U139:U139)))</f>
        <v/>
      </c>
      <c r="V208" s="267">
        <f>(1-MIN(0,MIN(V139:V139)))</f>
        <v/>
      </c>
    </row>
    <row r="209" hidden="1" outlineLevel="1">
      <c r="A209" s="222" t="inlineStr">
        <is>
          <t xml:space="preserve">  Lastfaktor A) laeuft bereits</t>
        </is>
      </c>
      <c r="G209" s="267">
        <f>PRODUCT(G175:G208)</f>
        <v/>
      </c>
      <c r="H209" s="267">
        <f>PRODUCT(H175:H208)</f>
        <v/>
      </c>
      <c r="I209" s="267">
        <f>PRODUCT(I175:I208)</f>
        <v/>
      </c>
      <c r="J209" s="267">
        <f>PRODUCT(J175:J208)</f>
        <v/>
      </c>
      <c r="K209" s="267">
        <f>PRODUCT(K175:K208)</f>
        <v/>
      </c>
      <c r="L209" s="267">
        <f>PRODUCT(L175:L208)</f>
        <v/>
      </c>
      <c r="M209" s="267">
        <f>PRODUCT(M175:M208)</f>
        <v/>
      </c>
      <c r="N209" s="267">
        <f>PRODUCT(N175:N208)</f>
        <v/>
      </c>
      <c r="O209" s="267">
        <f>PRODUCT(O175:O208)</f>
        <v/>
      </c>
      <c r="P209" s="267">
        <f>PRODUCT(P175:P208)</f>
        <v/>
      </c>
      <c r="Q209" s="267">
        <f>PRODUCT(Q175:Q208)</f>
        <v/>
      </c>
      <c r="R209" s="267">
        <f>PRODUCT(R175:R208)</f>
        <v/>
      </c>
      <c r="S209" s="267">
        <f>PRODUCT(S175:S208)</f>
        <v/>
      </c>
      <c r="T209" s="267">
        <f>PRODUCT(T175:T208)</f>
        <v/>
      </c>
      <c r="U209" s="267">
        <f>PRODUCT(U175:U208)</f>
        <v/>
      </c>
      <c r="V209" s="267">
        <f>PRODUCT(V175:V208)</f>
        <v/>
      </c>
    </row>
    <row r="210" hidden="1" outlineLevel="1">
      <c r="A210" s="270" t="inlineStr"/>
    </row>
    <row r="211" hidden="1" outlineLevel="1">
      <c r="A211" s="271" t="inlineStr">
        <is>
          <t>B) laeuft bereits plus geplant</t>
        </is>
      </c>
    </row>
    <row r="212" hidden="1" outlineLevel="1">
      <c r="A212" s="222" t="inlineStr">
        <is>
          <t>· PCSK9-Hemmer oder Inclisiran</t>
        </is>
      </c>
      <c r="G212" s="272">
        <f>IF(AND($B40="x",G91=0),G40,IF($C40="x",G40,0))</f>
        <v/>
      </c>
      <c r="H212" s="272">
        <f>IF(AND($B40="x",H91=0),H40,IF($C40="x",H40,0))</f>
        <v/>
      </c>
      <c r="I212" s="272">
        <f>IF(AND($B40="x",I91=0),I40,IF($C40="x",IF(I40&gt;0,I40*(0.0+1.0*$I$94),I40),0))</f>
        <v/>
      </c>
      <c r="J212" s="272">
        <f>IF(AND($B40="x",J91=0),J40,IF($C40="x",J40,0))</f>
        <v/>
      </c>
      <c r="K212" s="272">
        <f>IF(AND($B40="x",K91=0),K40,IF($C40="x",K40,0))</f>
        <v/>
      </c>
      <c r="L212" s="272">
        <f>IF(AND($B40="x",L91=0),L40,IF($C40="x",IF(L40&gt;0,L40*(0.1+0.9*$I$94),L40),0))</f>
        <v/>
      </c>
      <c r="M212" s="272">
        <f>IF(AND($B40="x",M91=0),M40,IF($C40="x",M40,0))</f>
        <v/>
      </c>
      <c r="N212" s="272">
        <f>IF(AND($B40="x",N91=0),N40,IF($C40="x",N40,0))</f>
        <v/>
      </c>
      <c r="O212" s="272">
        <f>IF(AND($B40="x",O91=0),O40,IF($C40="x",O40,0))</f>
        <v/>
      </c>
      <c r="P212" s="272">
        <f>IF(AND($B40="x",P91=0),P40,IF($C40="x",P40,0))</f>
        <v/>
      </c>
      <c r="Q212" s="272">
        <f>IF(AND($B40="x",Q91=0),Q40,IF($C40="x",Q40,0))</f>
        <v/>
      </c>
      <c r="R212" s="272">
        <f>IF(AND($B40="x",R91=0),R40,IF($C40="x",R40,0))</f>
        <v/>
      </c>
      <c r="S212" s="272">
        <f>IF(AND($B40="x",S91=0),S40,IF($C40="x",S40,0))</f>
        <v/>
      </c>
      <c r="T212" s="272">
        <f>IF(AND($B40="x",T91=0),T40,IF($C40="x",T40,0))</f>
        <v/>
      </c>
      <c r="U212" s="272">
        <f>IF(AND($B40="x",U91=0),U40,IF($C40="x",U40,0))</f>
        <v/>
      </c>
      <c r="V212" s="272">
        <f>IF(AND($B40="x",V91=0),V40,IF($C40="x",V40,0))</f>
        <v/>
      </c>
    </row>
    <row r="213" hidden="1" outlineLevel="1">
      <c r="A213" s="222" t="inlineStr">
        <is>
          <t>· Statin</t>
        </is>
      </c>
      <c r="G213" s="272">
        <f>IF(AND($B41="x",G91=0),G41,IF($C41="x",G41,0))</f>
        <v/>
      </c>
      <c r="H213" s="272">
        <f>IF(AND($B41="x",H91=0),H41,IF($C41="x",H41,0))</f>
        <v/>
      </c>
      <c r="I213" s="272">
        <f>IF(AND($B41="x",I91=0),I41,IF($C41="x",IF(I41&gt;0,I41*(0.0+1.0*$I$94),I41),0))</f>
        <v/>
      </c>
      <c r="J213" s="272">
        <f>IF(AND($B41="x",J91=0),J41,IF($C41="x",J41,0))</f>
        <v/>
      </c>
      <c r="K213" s="272">
        <f>IF(AND($B41="x",K91=0),K41,IF($C41="x",K41,0))</f>
        <v/>
      </c>
      <c r="L213" s="272">
        <f>IF(AND($B41="x",L91=0),L41,IF($C41="x",IF(L41&gt;0,L41*(0.1+0.9*$I$94),L41),0))</f>
        <v/>
      </c>
      <c r="M213" s="272">
        <f>IF(AND($B41="x",M91=0),M41,IF($C41="x",M41,0))</f>
        <v/>
      </c>
      <c r="N213" s="272">
        <f>IF(AND($B41="x",N91=0),N41,IF($C41="x",N41,0))</f>
        <v/>
      </c>
      <c r="O213" s="272">
        <f>IF(AND($B41="x",O91=0),O41,IF($C41="x",O41,0))</f>
        <v/>
      </c>
      <c r="P213" s="272">
        <f>IF(AND($B41="x",P91=0),P41,IF($C41="x",P41,0))</f>
        <v/>
      </c>
      <c r="Q213" s="272">
        <f>IF(AND($B41="x",Q91=0),Q41,IF($C41="x",Q41,0))</f>
        <v/>
      </c>
      <c r="R213" s="272">
        <f>IF(AND($B41="x",R91=0),R41,IF($C41="x",R41,0))</f>
        <v/>
      </c>
      <c r="S213" s="272">
        <f>IF(AND($B41="x",S91=0),S41,IF($C41="x",S41,0))</f>
        <v/>
      </c>
      <c r="T213" s="272">
        <f>IF(OR($B41="x",$C41="x"),T41,0)</f>
        <v/>
      </c>
      <c r="U213" s="272">
        <f>IF(AND($B41="x",U91=0),U41,IF($C41="x",U41,0))</f>
        <v/>
      </c>
      <c r="V213" s="272">
        <f>IF(AND($B41="x",V91=0),V41,IF($C41="x",V41,0))</f>
        <v/>
      </c>
    </row>
    <row r="214" hidden="1" outlineLevel="1">
      <c r="A214" s="222" t="inlineStr">
        <is>
          <t>· Ezetimib</t>
        </is>
      </c>
      <c r="G214" s="272">
        <f>IF(AND($B42="x",G91=0),G42,IF($C42="x",G42,0))</f>
        <v/>
      </c>
      <c r="H214" s="272">
        <f>IF(AND($B42="x",H91=0),H42,IF($C42="x",H42,0))</f>
        <v/>
      </c>
      <c r="I214" s="272">
        <f>IF(AND($B42="x",I91=0),I42,IF($C42="x",IF(I42&gt;0,I42*(0.0+1.0*$I$94),I42),0))</f>
        <v/>
      </c>
      <c r="J214" s="272">
        <f>IF(AND($B42="x",J91=0),J42,IF($C42="x",J42,0))</f>
        <v/>
      </c>
      <c r="K214" s="272">
        <f>IF(AND($B42="x",K91=0),K42,IF($C42="x",K42,0))</f>
        <v/>
      </c>
      <c r="L214" s="272">
        <f>IF(AND($B42="x",L91=0),L42,IF($C42="x",IF(L42&gt;0,L42*(0.0+1.0*$I$94),L42),0))</f>
        <v/>
      </c>
      <c r="M214" s="272">
        <f>IF(AND($B42="x",M91=0),M42,IF($C42="x",M42,0))</f>
        <v/>
      </c>
      <c r="N214" s="272">
        <f>IF(AND($B42="x",N91=0),N42,IF($C42="x",N42,0))</f>
        <v/>
      </c>
      <c r="O214" s="272">
        <f>IF(AND($B42="x",O91=0),O42,IF($C42="x",O42,0))</f>
        <v/>
      </c>
      <c r="P214" s="272">
        <f>IF(AND($B42="x",P91=0),P42,IF($C42="x",P42,0))</f>
        <v/>
      </c>
      <c r="Q214" s="272">
        <f>IF(AND($B42="x",Q91=0),Q42,IF($C42="x",Q42,0))</f>
        <v/>
      </c>
      <c r="R214" s="272">
        <f>IF(AND($B42="x",R91=0),R42,IF($C42="x",R42,0))</f>
        <v/>
      </c>
      <c r="S214" s="272">
        <f>IF(AND($B42="x",S91=0),S42,IF($C42="x",S42,0))</f>
        <v/>
      </c>
      <c r="T214" s="272">
        <f>IF(AND($B42="x",T91=0),T42,IF($C42="x",T42,0))</f>
        <v/>
      </c>
      <c r="U214" s="272">
        <f>IF(AND($B42="x",U91=0),U42,IF($C42="x",U42,0))</f>
        <v/>
      </c>
      <c r="V214" s="272">
        <f>IF(AND($B42="x",V91=0),V42,IF($C42="x",V42,0))</f>
        <v/>
      </c>
    </row>
    <row r="215" hidden="1" outlineLevel="1">
      <c r="A215" s="222" t="inlineStr">
        <is>
          <t>· Bempedoinsaeure</t>
        </is>
      </c>
      <c r="G215" s="272">
        <f>IF(AND($B43="x",G91=0),G43,IF($C43="x",G43,0))</f>
        <v/>
      </c>
      <c r="H215" s="272">
        <f>IF(AND($B43="x",H91=0),H43,IF($C43="x",H43,0))</f>
        <v/>
      </c>
      <c r="I215" s="272">
        <f>IF(AND($B43="x",I91=0),I43,IF($C43="x",IF(I43&gt;0,I43*(0.0+1.0*$I$94),I43),0))</f>
        <v/>
      </c>
      <c r="J215" s="272">
        <f>IF(AND($B43="x",J91=0),J43,IF($C43="x",J43,0))</f>
        <v/>
      </c>
      <c r="K215" s="272">
        <f>IF(AND($B43="x",K91=0),K43,IF($C43="x",K43,0))</f>
        <v/>
      </c>
      <c r="L215" s="272">
        <f>IF(AND($B43="x",L91=0),L43,IF($C43="x",IF(L43&gt;0,L43*(0.0+1.0*$I$94),L43),0))</f>
        <v/>
      </c>
      <c r="M215" s="272">
        <f>IF(AND($B43="x",M91=0),M43,IF($C43="x",M43,0))</f>
        <v/>
      </c>
      <c r="N215" s="272">
        <f>IF(AND($B43="x",N91=0),N43,IF($C43="x",N43,0))</f>
        <v/>
      </c>
      <c r="O215" s="272">
        <f>IF(AND($B43="x",O91=0),O43,IF($C43="x",O43,0))</f>
        <v/>
      </c>
      <c r="P215" s="272">
        <f>IF(AND($B43="x",P91=0),P43,IF($C43="x",P43,0))</f>
        <v/>
      </c>
      <c r="Q215" s="272">
        <f>IF(AND($B43="x",Q91=0),Q43,IF($C43="x",Q43,0))</f>
        <v/>
      </c>
      <c r="R215" s="272">
        <f>IF(AND($B43="x",R91=0),R43,IF($C43="x",R43,0))</f>
        <v/>
      </c>
      <c r="S215" s="272">
        <f>IF(AND($B43="x",S91=0),S43,IF($C43="x",S43,0))</f>
        <v/>
      </c>
      <c r="T215" s="272">
        <f>IF(AND($B43="x",T91=0),T43,IF($C43="x",T43,0))</f>
        <v/>
      </c>
      <c r="U215" s="272">
        <f>IF(AND($B43="x",U91=0),U43,IF($C43="x",U43,0))</f>
        <v/>
      </c>
      <c r="V215" s="272">
        <f>IF(AND($B43="x",V91=0),V43,IF($C43="x",V43,0))</f>
        <v/>
      </c>
    </row>
    <row r="216" hidden="1" outlineLevel="1">
      <c r="A216" s="222" t="inlineStr">
        <is>
          <t>· Sartan (ARB)</t>
        </is>
      </c>
      <c r="G216" s="272">
        <f>IF(AND($B44="x",G91=0),G44,IF($C44="x",G44,0))</f>
        <v/>
      </c>
      <c r="H216" s="272">
        <f>IF(AND($B44="x",H91=0),H44,IF($C44="x",H44,0))</f>
        <v/>
      </c>
      <c r="I216" s="272">
        <f>IF(AND($B44="x",I91=0),I44,IF($C44="x",I44,0))</f>
        <v/>
      </c>
      <c r="J216" s="272">
        <f>IF(AND($B44="x",J91=0),J44,IF($C44="x",IF(J44&gt;0,J44*(0.15+0.85*$G$94),J44),0))</f>
        <v/>
      </c>
      <c r="K216" s="272">
        <f>IF(AND($B44="x",K91=0),K44,IF($C44="x",IF(K44&gt;0,K44*(0.5+0.5*$G$94),K44),0))</f>
        <v/>
      </c>
      <c r="L216" s="272">
        <f>IF(AND($B44="x",L91=0),L44,IF($C44="x",L44,0))</f>
        <v/>
      </c>
      <c r="M216" s="272">
        <f>IF(AND($B44="x",M91=0),M44,IF($C44="x",M44,0))</f>
        <v/>
      </c>
      <c r="N216" s="272">
        <f>IF(AND($B44="x",N91=0),N44,IF($C44="x",N44,0))</f>
        <v/>
      </c>
      <c r="O216" s="272">
        <f>IF(AND($B44="x",O91=0),O44,IF($C44="x",IF(O44&gt;0,O44*(0.3+0.7*$G$94),O44),0))</f>
        <v/>
      </c>
      <c r="P216" s="272">
        <f>IF(AND($B44="x",P91=0),P44,IF($C44="x",P44,0))</f>
        <v/>
      </c>
      <c r="Q216" s="272">
        <f>IF(AND($B44="x",Q91=0),Q44,IF($C44="x",Q44,0))</f>
        <v/>
      </c>
      <c r="R216" s="272">
        <f>IF(AND($B44="x",R91=0),R44,IF($C44="x",R44,0))</f>
        <v/>
      </c>
      <c r="S216" s="272">
        <f>IF(AND($B44="x",S91=0),S44,IF($C44="x",S44,0))</f>
        <v/>
      </c>
      <c r="T216" s="272">
        <f>IF(AND($B44="x",T91=0),T44,IF($C44="x",T44,0))</f>
        <v/>
      </c>
      <c r="U216" s="272">
        <f>IF(AND($B44="x",U91=0),U44,IF($C44="x",U44,0))</f>
        <v/>
      </c>
      <c r="V216" s="272">
        <f>IF(AND($B44="x",V91=0),V44,IF($C44="x",V44,0))</f>
        <v/>
      </c>
    </row>
    <row r="217" hidden="1" outlineLevel="1">
      <c r="A217" s="222" t="inlineStr">
        <is>
          <t>· ACE-Hemmer</t>
        </is>
      </c>
      <c r="G217" s="272">
        <f>IF(AND($B45="x",G91=0),G45,IF($C45="x",G45,0))</f>
        <v/>
      </c>
      <c r="H217" s="272">
        <f>IF(AND($B45="x",H91=0),H45,IF($C45="x",H45,0))</f>
        <v/>
      </c>
      <c r="I217" s="272">
        <f>IF(AND($B45="x",I91=0),I45,IF($C45="x",I45,0))</f>
        <v/>
      </c>
      <c r="J217" s="272">
        <f>IF(AND($B45="x",J91=0),J45,IF($C45="x",IF(J45&gt;0,J45*(0.15+0.85*$G$94),J45),0))</f>
        <v/>
      </c>
      <c r="K217" s="272">
        <f>IF(AND($B45="x",K91=0),K45,IF($C45="x",IF(K45&gt;0,K45*(0.5+0.5*$G$94),K45),0))</f>
        <v/>
      </c>
      <c r="L217" s="272">
        <f>IF(AND($B45="x",L91=0),L45,IF($C45="x",L45,0))</f>
        <v/>
      </c>
      <c r="M217" s="272">
        <f>IF(AND($B45="x",M91=0),M45,IF($C45="x",M45,0))</f>
        <v/>
      </c>
      <c r="N217" s="272">
        <f>IF(AND($B45="x",N91=0),N45,IF($C45="x",N45,0))</f>
        <v/>
      </c>
      <c r="O217" s="272">
        <f>IF(AND($B45="x",O91=0),O45,IF($C45="x",IF(O45&gt;0,O45*(0.3+0.7*$G$94),O45),0))</f>
        <v/>
      </c>
      <c r="P217" s="272">
        <f>IF(AND($B45="x",P91=0),P45,IF($C45="x",P45,0))</f>
        <v/>
      </c>
      <c r="Q217" s="272">
        <f>IF(AND($B45="x",Q91=0),Q45,IF($C45="x",Q45,0))</f>
        <v/>
      </c>
      <c r="R217" s="272">
        <f>IF(AND($B45="x",R91=0),R45,IF($C45="x",R45,0))</f>
        <v/>
      </c>
      <c r="S217" s="272">
        <f>IF(AND($B45="x",S91=0),S45,IF($C45="x",S45,0))</f>
        <v/>
      </c>
      <c r="T217" s="272">
        <f>IF(AND($B45="x",T91=0),T45,IF($C45="x",T45,0))</f>
        <v/>
      </c>
      <c r="U217" s="272">
        <f>IF(AND($B45="x",U91=0),U45,IF($C45="x",U45,0))</f>
        <v/>
      </c>
      <c r="V217" s="272">
        <f>IF(AND($B45="x",V91=0),V45,IF($C45="x",V45,0))</f>
        <v/>
      </c>
    </row>
    <row r="218" hidden="1" outlineLevel="1">
      <c r="A218" s="222" t="inlineStr">
        <is>
          <t>· Amlodipin (Calciumantagonist)</t>
        </is>
      </c>
      <c r="G218" s="272">
        <f>IF(AND($B46="x",G91=0),G46,IF($C46="x",G46,0))</f>
        <v/>
      </c>
      <c r="H218" s="272">
        <f>IF(AND($B46="x",H91=0),H46,IF($C46="x",H46,0))</f>
        <v/>
      </c>
      <c r="I218" s="272">
        <f>IF(AND($B46="x",I91=0),I46,IF($C46="x",I46,0))</f>
        <v/>
      </c>
      <c r="J218" s="272">
        <f>IF(AND($B46="x",J91=0),J46,IF($C46="x",IF(J46&gt;0,J46*(0.1+0.9*$G$94),J46),0))</f>
        <v/>
      </c>
      <c r="K218" s="272">
        <f>IF(AND($B46="x",K91=0),K46,IF($C46="x",IF(K46&gt;0,K46*(0.6+0.4*$G$94),K46),0))</f>
        <v/>
      </c>
      <c r="L218" s="272">
        <f>IF(AND($B46="x",L91=0),L46,IF($C46="x",L46,0))</f>
        <v/>
      </c>
      <c r="M218" s="272">
        <f>IF(AND($B46="x",M91=0),M46,IF($C46="x",M46,0))</f>
        <v/>
      </c>
      <c r="N218" s="272">
        <f>IF(AND($B46="x",N91=0),N46,IF($C46="x",N46,0))</f>
        <v/>
      </c>
      <c r="O218" s="272">
        <f>IF(AND($B46="x",O91=0),O46,IF($C46="x",IF(O46&gt;0,O46*(0.25+0.75*$G$94),O46),0))</f>
        <v/>
      </c>
      <c r="P218" s="272">
        <f>IF(AND($B46="x",P91=0),P46,IF($C46="x",P46,0))</f>
        <v/>
      </c>
      <c r="Q218" s="272">
        <f>IF(AND($B46="x",Q91=0),Q46,IF($C46="x",Q46,0))</f>
        <v/>
      </c>
      <c r="R218" s="272">
        <f>IF(AND($B46="x",R91=0),R46,IF($C46="x",R46,0))</f>
        <v/>
      </c>
      <c r="S218" s="272">
        <f>IF(AND($B46="x",S91=0),S46,IF($C46="x",S46,0))</f>
        <v/>
      </c>
      <c r="T218" s="272">
        <f>IF(AND($B46="x",T91=0),T46,IF($C46="x",T46,0))</f>
        <v/>
      </c>
      <c r="U218" s="272">
        <f>IF(AND($B46="x",U91=0),U46,IF($C46="x",U46,0))</f>
        <v/>
      </c>
      <c r="V218" s="272">
        <f>IF(AND($B46="x",V91=0),V46,IF($C46="x",V46,0))</f>
        <v/>
      </c>
    </row>
    <row r="219" hidden="1" outlineLevel="1">
      <c r="A219" s="222" t="inlineStr">
        <is>
          <t>· Nebivolol (Betablocker)</t>
        </is>
      </c>
      <c r="G219" s="272">
        <f>IF(AND($B47="x",G91=0),G47,IF($C47="x",G47,0))</f>
        <v/>
      </c>
      <c r="H219" s="272">
        <f>IF(AND($B47="x",H91=0),H47,IF($C47="x",H47,0))</f>
        <v/>
      </c>
      <c r="I219" s="272">
        <f>IF(AND($B47="x",I91=0),I47,IF($C47="x",I47,0))</f>
        <v/>
      </c>
      <c r="J219" s="272">
        <f>IF(AND($B47="x",J91=0),J47,IF($C47="x",IF(J47&gt;0,J47*(0.1+0.9*$G$94),J47),0))</f>
        <v/>
      </c>
      <c r="K219" s="272">
        <f>IF(AND($B47="x",K91=0),K47,IF($C47="x",IF(K47&gt;0,K47*(0.5+0.5*$G$94),K47),0))</f>
        <v/>
      </c>
      <c r="L219" s="272">
        <f>IF(AND($B47="x",L91=0),L47,IF($C47="x",L47,0))</f>
        <v/>
      </c>
      <c r="M219" s="272">
        <f>IF(AND($B47="x",M91=0),M47,IF($C47="x",M47,0))</f>
        <v/>
      </c>
      <c r="N219" s="272">
        <f>IF(AND($B47="x",N91=0),N47,IF($C47="x",N47,0))</f>
        <v/>
      </c>
      <c r="O219" s="272">
        <f>IF(AND($B47="x",O91=0),O47,IF($C47="x",IF(O47&gt;0,O47*(0.3+0.7*$G$94),O47),0))</f>
        <v/>
      </c>
      <c r="P219" s="272">
        <f>IF(AND($B47="x",P91=0),P47,IF($C47="x",P47,0))</f>
        <v/>
      </c>
      <c r="Q219" s="272">
        <f>IF(AND($B47="x",Q91=0),Q47,IF($C47="x",Q47,0))</f>
        <v/>
      </c>
      <c r="R219" s="272">
        <f>IF(AND($B47="x",R91=0),R47,IF($C47="x",R47,0))</f>
        <v/>
      </c>
      <c r="S219" s="272">
        <f>IF(AND($B47="x",S91=0),S47,IF($C47="x",S47,0))</f>
        <v/>
      </c>
      <c r="T219" s="272">
        <f>IF(AND($B47="x",T91=0),T47,IF($C47="x",T47,0))</f>
        <v/>
      </c>
      <c r="U219" s="272">
        <f>IF(AND($B47="x",U91=0),U47,IF($C47="x",U47,0))</f>
        <v/>
      </c>
      <c r="V219" s="272">
        <f>IF(AND($B47="x",V91=0),V47,IF($C47="x",V47,0))</f>
        <v/>
      </c>
    </row>
    <row r="220" hidden="1" outlineLevel="1">
      <c r="A220" s="222" t="inlineStr">
        <is>
          <t>· Tadalafil niedrig dosiert</t>
        </is>
      </c>
      <c r="G220" s="272">
        <f>IF(AND($B48="x",G91=0),G48,IF($C48="x",G48,0))</f>
        <v/>
      </c>
      <c r="H220" s="272">
        <f>IF(AND($B48="x",H91=0),H48,IF($C48="x",H48,0))</f>
        <v/>
      </c>
      <c r="I220" s="272">
        <f>IF(AND($B48="x",I91=0),I48,IF($C48="x",I48,0))</f>
        <v/>
      </c>
      <c r="J220" s="272">
        <f>IF(AND($B48="x",J91=0),J48,IF($C48="x",IF(J48&gt;0,J48*(0.3+0.7*$G$94),J48),0))</f>
        <v/>
      </c>
      <c r="K220" s="272">
        <f>IF(AND($B48="x",K91=0),K48,IF($C48="x",K48,0))</f>
        <v/>
      </c>
      <c r="L220" s="272">
        <f>IF(AND($B48="x",L91=0),L48,IF($C48="x",L48,0))</f>
        <v/>
      </c>
      <c r="M220" s="272">
        <f>IF(AND($B48="x",M91=0),M48,IF($C48="x",M48,0))</f>
        <v/>
      </c>
      <c r="N220" s="272">
        <f>IF(AND($B48="x",N91=0),N48,IF($C48="x",N48,0))</f>
        <v/>
      </c>
      <c r="O220" s="272">
        <f>IF(AND($B48="x",O91=0),O48,IF($C48="x",O48,0))</f>
        <v/>
      </c>
      <c r="P220" s="272">
        <f>IF(AND($B48="x",P91=0),P48,IF($C48="x",P48,0))</f>
        <v/>
      </c>
      <c r="Q220" s="272">
        <f>IF(AND($B48="x",Q91=0),Q48,IF($C48="x",Q48,0))</f>
        <v/>
      </c>
      <c r="R220" s="272">
        <f>IF(AND($B48="x",R91=0),R48,IF($C48="x",R48,0))</f>
        <v/>
      </c>
      <c r="S220" s="272">
        <f>IF(AND($B48="x",S91=0),S48,IF($C48="x",S48,0))</f>
        <v/>
      </c>
      <c r="T220" s="272">
        <f>IF(AND($B48="x",T91=0),T48,IF($C48="x",T48,0))</f>
        <v/>
      </c>
      <c r="U220" s="272">
        <f>IF(AND($B48="x",U91=0),U48,IF($C48="x",U48,0))</f>
        <v/>
      </c>
      <c r="V220" s="272">
        <f>IF(AND($B48="x",V91=0),V48,IF($C48="x",V48,0))</f>
        <v/>
      </c>
    </row>
    <row r="221" hidden="1" outlineLevel="1">
      <c r="A221" s="222" t="inlineStr">
        <is>
          <t>· Blutspende oder Aderlass</t>
        </is>
      </c>
      <c r="G221" s="272">
        <f>IF(AND($B49="x",G91=0),G49,IF($C49="x",IF(G49&gt;0,G49*(0.0+1.0*$H$94),G49),0))</f>
        <v/>
      </c>
      <c r="H221" s="272">
        <f>IF(AND($B49="x",H91=0),H49,IF($C49="x",H49,0))</f>
        <v/>
      </c>
      <c r="I221" s="272">
        <f>IF(AND($B49="x",I91=0),I49,IF($C49="x",I49,0))</f>
        <v/>
      </c>
      <c r="J221" s="272">
        <f>IF(AND($B49="x",J91=0),J49,IF($C49="x",J49,0))</f>
        <v/>
      </c>
      <c r="K221" s="272">
        <f>IF(AND($B49="x",K91=0),K49,IF($C49="x",K49,0))</f>
        <v/>
      </c>
      <c r="L221" s="272">
        <f>IF(AND($B49="x",L91=0),L49,IF($C49="x",L49,0))</f>
        <v/>
      </c>
      <c r="M221" s="272">
        <f>IF(AND($B49="x",M91=0),M49,IF($C49="x",M49,0))</f>
        <v/>
      </c>
      <c r="N221" s="272">
        <f>IF(AND($B49="x",N91=0),N49,IF($C49="x",N49,0))</f>
        <v/>
      </c>
      <c r="O221" s="272">
        <f>IF(AND($B49="x",O91=0),O49,IF($C49="x",O49,0))</f>
        <v/>
      </c>
      <c r="P221" s="272">
        <f>IF(AND($B49="x",P91=0),P49,IF($C49="x",P49,0))</f>
        <v/>
      </c>
      <c r="Q221" s="272">
        <f>IF(AND($B49="x",Q91=0),Q49,IF($C49="x",Q49,0))</f>
        <v/>
      </c>
      <c r="R221" s="272">
        <f>IF(AND($B49="x",R91=0),R49,IF($C49="x",R49,0))</f>
        <v/>
      </c>
      <c r="S221" s="272">
        <f>IF(AND($B49="x",S91=0),S49,IF($C49="x",S49,0))</f>
        <v/>
      </c>
      <c r="T221" s="272">
        <f>IF(AND($B49="x",T91=0),T49,IF($C49="x",T49,0))</f>
        <v/>
      </c>
      <c r="U221" s="272">
        <f>IF(AND($B49="x",U91=0),U49,IF($C49="x",U49,0))</f>
        <v/>
      </c>
      <c r="V221" s="272">
        <f>IF(AND($B49="x",V91=0),V49,IF($C49="x",V49,0))</f>
        <v/>
      </c>
    </row>
    <row r="222" hidden="1" outlineLevel="1">
      <c r="A222" s="222" t="inlineStr">
        <is>
          <t>· SGLT2-Hemmer</t>
        </is>
      </c>
      <c r="G222" s="272">
        <f>IF(OR($B50="x",$C50="x"),G50,0)</f>
        <v/>
      </c>
      <c r="H222" s="272">
        <f>IF(AND($B50="x",H91=0),H50,IF($C50="x",H50,0))</f>
        <v/>
      </c>
      <c r="I222" s="272">
        <f>IF(AND($B50="x",I91=0),I50,IF($C50="x",I50,0))</f>
        <v/>
      </c>
      <c r="J222" s="272">
        <f>IF(AND($B50="x",J91=0),J50,IF($C50="x",IF(J50&gt;0,J50*(0.2+0.8*$G$94),J50),0))</f>
        <v/>
      </c>
      <c r="K222" s="272">
        <f>IF(AND($B50="x",K91=0),K50,IF($C50="x",K50,0))</f>
        <v/>
      </c>
      <c r="L222" s="272">
        <f>IF(AND($B50="x",L91=0),L50,IF($C50="x",L50,0))</f>
        <v/>
      </c>
      <c r="M222" s="272">
        <f>IF(AND($B50="x",M91=0),M50,IF($C50="x",M50,0))</f>
        <v/>
      </c>
      <c r="N222" s="272">
        <f>IF(AND($B50="x",N91=0),N50,IF($C50="x",N50,0))</f>
        <v/>
      </c>
      <c r="O222" s="272">
        <f>IF(AND($B50="x",O91=0),O50,IF($C50="x",O50,0))</f>
        <v/>
      </c>
      <c r="P222" s="272">
        <f>IF(AND($B50="x",P91=0),P50,IF($C50="x",P50,0))</f>
        <v/>
      </c>
      <c r="Q222" s="272">
        <f>IF(AND($B50="x",Q91=0),Q50,IF($C50="x",Q50,0))</f>
        <v/>
      </c>
      <c r="R222" s="272">
        <f>IF(AND($B50="x",R91=0),R50,IF($C50="x",R50,0))</f>
        <v/>
      </c>
      <c r="S222" s="272">
        <f>IF(AND($B50="x",S91=0),S50,IF($C50="x",S50,0))</f>
        <v/>
      </c>
      <c r="T222" s="272">
        <f>IF(AND($B50="x",T91=0),T50,IF($C50="x",IF(T50&gt;0,T50*(0.1+0.9*$L$94),T50),0))</f>
        <v/>
      </c>
      <c r="U222" s="272">
        <f>IF(AND($B50="x",U91=0),U50,IF($C50="x",U50,0))</f>
        <v/>
      </c>
      <c r="V222" s="272">
        <f>IF(AND($B50="x",V91=0),V50,IF($C50="x",V50,0))</f>
        <v/>
      </c>
    </row>
    <row r="223" hidden="1" outlineLevel="1">
      <c r="A223" s="222" t="inlineStr">
        <is>
          <t>· GLP-1- oder GLP-1/GIP-Agonist</t>
        </is>
      </c>
      <c r="G223" s="272">
        <f>IF(AND($B51="x",G91=0),G51,IF($C51="x",G51,0))</f>
        <v/>
      </c>
      <c r="H223" s="272">
        <f>IF(AND($B51="x",H91=0),H51,IF($C51="x",IF(H51&gt;0,H51*(0.3+0.7*$J$94),H51),0))</f>
        <v/>
      </c>
      <c r="I223" s="272">
        <f>IF(AND($B51="x",I91=0),I51,IF($C51="x",I51,0))</f>
        <v/>
      </c>
      <c r="J223" s="272">
        <f>IF(AND($B51="x",J91=0),J51,IF($C51="x",IF(J51&gt;0,J51*(0.25+0.75*$G$94),J51),0))</f>
        <v/>
      </c>
      <c r="K223" s="272">
        <f>IF(AND($B51="x",K91=0),K51,IF($C51="x",K51,0))</f>
        <v/>
      </c>
      <c r="L223" s="272">
        <f>IF(AND($B51="x",L91=0),L51,IF($C51="x",L51,0))</f>
        <v/>
      </c>
      <c r="M223" s="272">
        <f>IF(AND($B51="x",M91=0),M51,IF($C51="x",M51,0))</f>
        <v/>
      </c>
      <c r="N223" s="272">
        <f>IF(AND($B51="x",N91=0),N51,IF($C51="x",N51,0))</f>
        <v/>
      </c>
      <c r="O223" s="272">
        <f>IF(AND($B51="x",O91=0),O51,IF($C51="x",O51,0))</f>
        <v/>
      </c>
      <c r="P223" s="272">
        <f>IF(AND($B51="x",P91=0),P51,IF($C51="x",IF(P51&gt;0,P51*(0.3+0.7*$K$94),P51),0))</f>
        <v/>
      </c>
      <c r="Q223" s="272">
        <f>IF(AND($B51="x",Q91=0),Q51,IF($C51="x",Q51,0))</f>
        <v/>
      </c>
      <c r="R223" s="272">
        <f>IF(AND($B51="x",R91=0),R51,IF($C51="x",R51,0))</f>
        <v/>
      </c>
      <c r="S223" s="272">
        <f>IF(AND($B51="x",S91=0),S51,IF($C51="x",S51,0))</f>
        <v/>
      </c>
      <c r="T223" s="272">
        <f>IF(AND($B51="x",T91=0),T51,IF($C51="x",IF(T51&gt;0,T51*(0.0+1.0*$L$94),T51),0))</f>
        <v/>
      </c>
      <c r="U223" s="272">
        <f>IF(AND($B51="x",U91=0),U51,IF($C51="x",U51,0))</f>
        <v/>
      </c>
      <c r="V223" s="272">
        <f>IF(AND($B51="x",V91=0),V51,IF($C51="x",V51,0))</f>
        <v/>
      </c>
    </row>
    <row r="224" hidden="1" outlineLevel="1">
      <c r="A224" s="222" t="inlineStr">
        <is>
          <t>· Berberin oder Metformin</t>
        </is>
      </c>
      <c r="G224" s="272">
        <f>IF(AND($B52="x",G91=0),G52,IF($C52="x",G52,0))</f>
        <v/>
      </c>
      <c r="H224" s="272">
        <f>IF(AND($B52="x",H91=0),H52,IF($C52="x",H52,0))</f>
        <v/>
      </c>
      <c r="I224" s="272">
        <f>IF(AND($B52="x",I91=0),I52,IF($C52="x",IF(I52&gt;0,I52*(0.0+1.0*$I$94),I52),0))</f>
        <v/>
      </c>
      <c r="J224" s="272">
        <f>IF(AND($B52="x",J91=0),J52,IF($C52="x",J52,0))</f>
        <v/>
      </c>
      <c r="K224" s="272">
        <f>IF(AND($B52="x",K91=0),K52,IF($C52="x",K52,0))</f>
        <v/>
      </c>
      <c r="L224" s="272">
        <f>IF(AND($B52="x",L91=0),L52,IF($C52="x",L52,0))</f>
        <v/>
      </c>
      <c r="M224" s="272">
        <f>IF(AND($B52="x",M91=0),M52,IF($C52="x",M52,0))</f>
        <v/>
      </c>
      <c r="N224" s="272">
        <f>IF(AND($B52="x",N91=0),N52,IF($C52="x",N52,0))</f>
        <v/>
      </c>
      <c r="O224" s="272">
        <f>IF(AND($B52="x",O91=0),O52,IF($C52="x",O52,0))</f>
        <v/>
      </c>
      <c r="P224" s="272">
        <f>IF(AND($B52="x",P91=0),P52,IF($C52="x",IF(P52&gt;0,P52*(0.0+1.0*$K$94),P52),0))</f>
        <v/>
      </c>
      <c r="Q224" s="272">
        <f>IF(AND($B52="x",Q91=0),Q52,IF($C52="x",Q52,0))</f>
        <v/>
      </c>
      <c r="R224" s="272">
        <f>IF(AND($B52="x",R91=0),R52,IF($C52="x",R52,0))</f>
        <v/>
      </c>
      <c r="S224" s="272">
        <f>IF(AND($B52="x",S91=0),S52,IF($C52="x",S52,0))</f>
        <v/>
      </c>
      <c r="T224" s="272">
        <f>IF(AND($B52="x",T91=0),T52,IF($C52="x",IF(T52&gt;0,T52*(0.0+1.0*$L$94),T52),0))</f>
        <v/>
      </c>
      <c r="U224" s="272">
        <f>IF(AND($B52="x",U91=0),U52,IF($C52="x",U52,0))</f>
        <v/>
      </c>
      <c r="V224" s="272">
        <f>IF(AND($B52="x",V91=0),V52,IF($C52="x",V52,0))</f>
        <v/>
      </c>
    </row>
    <row r="225" hidden="1" outlineLevel="1">
      <c r="A225" s="222" t="inlineStr">
        <is>
          <t>· Omega-3 hochdosiert</t>
        </is>
      </c>
      <c r="G225" s="272">
        <f>IF(AND($B53="x",G91=0),G53,IF($C53="x",G53,0))</f>
        <v/>
      </c>
      <c r="H225" s="272">
        <f>IF(AND($B53="x",H91=0),H53,IF($C53="x",H53,0))</f>
        <v/>
      </c>
      <c r="I225" s="272">
        <f>IF(AND($B53="x",I91=0),I53,IF($C53="x",I53,0))</f>
        <v/>
      </c>
      <c r="J225" s="272">
        <f>IF(AND($B53="x",J91=0),J53,IF($C53="x",J53,0))</f>
        <v/>
      </c>
      <c r="K225" s="272">
        <f>IF(AND($B53="x",K91=0),K53,IF($C53="x",K53,0))</f>
        <v/>
      </c>
      <c r="L225" s="272">
        <f>IF(AND($B53="x",L91=0),L53,IF($C53="x",L53,0))</f>
        <v/>
      </c>
      <c r="M225" s="272">
        <f>IF(AND($B53="x",M91=0),M53,IF($C53="x",M53,0))</f>
        <v/>
      </c>
      <c r="N225" s="272">
        <f>IF(AND($B53="x",N91=0),N53,IF($C53="x",N53,0))</f>
        <v/>
      </c>
      <c r="O225" s="272">
        <f>IF(AND($B53="x",O91=0),O53,IF($C53="x",O53,0))</f>
        <v/>
      </c>
      <c r="P225" s="272">
        <f>IF(AND($B53="x",P91=0),P53,IF($C53="x",IF(P53&gt;0,P53*(0.1+0.9*$K$94),P53),0))</f>
        <v/>
      </c>
      <c r="Q225" s="272">
        <f>IF(AND($B53="x",Q91=0),Q53,IF($C53="x",Q53,0))</f>
        <v/>
      </c>
      <c r="R225" s="272">
        <f>IF(AND($B53="x",R91=0),R53,IF($C53="x",R53,0))</f>
        <v/>
      </c>
      <c r="S225" s="272">
        <f>IF(AND($B53="x",S91=0),S53,IF($C53="x",S53,0))</f>
        <v/>
      </c>
      <c r="T225" s="272">
        <f>IF(AND($B53="x",T91=0),T53,IF($C53="x",T53,0))</f>
        <v/>
      </c>
      <c r="U225" s="272">
        <f>IF(AND($B53="x",U91=0),U53,IF($C53="x",U53,0))</f>
        <v/>
      </c>
      <c r="V225" s="272">
        <f>IF(AND($B53="x",V91=0),V53,IF($C53="x",V53,0))</f>
        <v/>
      </c>
    </row>
    <row r="226" hidden="1" outlineLevel="1">
      <c r="A226" s="222" t="inlineStr">
        <is>
          <t>· OTC-Stack komplett</t>
        </is>
      </c>
      <c r="G226" s="272">
        <f>IF(AND($B54="x",G91=0),G54,IF($C54="x",G54,0))</f>
        <v/>
      </c>
      <c r="H226" s="272">
        <f>IF(AND($B54="x",H91=0),H54,IF($C54="x",IF(H54&gt;0,H54*(0.0+1.0*$J$94),H54),0))</f>
        <v/>
      </c>
      <c r="I226" s="272">
        <f>IF(AND($B54="x",I91=0),I54,IF($C54="x",IF(I54&gt;0,I54*(0.0+1.0*$I$94),I54),0))</f>
        <v/>
      </c>
      <c r="J226" s="272">
        <f>IF(AND($B54="x",J91=0),J54,IF($C54="x",IF(J54&gt;0,J54*(0.15+0.85*$G$94),J54),0))</f>
        <v/>
      </c>
      <c r="K226" s="272">
        <f>IF(AND($B54="x",K91=0),K54,IF($C54="x",K54,0))</f>
        <v/>
      </c>
      <c r="L226" s="272">
        <f>IF(AND($B54="x",L91=0),L54,IF($C54="x",L54,0))</f>
        <v/>
      </c>
      <c r="M226" s="272">
        <f>IF(AND($B54="x",M91=0),M54,IF($C54="x",M54,0))</f>
        <v/>
      </c>
      <c r="N226" s="272">
        <f>IF(AND($B54="x",N91=0),N54,IF($C54="x",N54,0))</f>
        <v/>
      </c>
      <c r="O226" s="272">
        <f>IF(AND($B54="x",O91=0),O54,IF($C54="x",O54,0))</f>
        <v/>
      </c>
      <c r="P226" s="272">
        <f>IF(AND($B54="x",P91=0),P54,IF($C54="x",IF(P54&gt;0,P54*(0.1+0.9*$K$94),P54),0))</f>
        <v/>
      </c>
      <c r="Q226" s="272">
        <f>IF(AND($B54="x",Q91=0),Q54,IF($C54="x",Q54,0))</f>
        <v/>
      </c>
      <c r="R226" s="272">
        <f>IF(AND($B54="x",R91=0),R54,IF($C54="x",R54,0))</f>
        <v/>
      </c>
      <c r="S226" s="272">
        <f>IF(AND($B54="x",S91=0),S54,IF($C54="x",S54,0))</f>
        <v/>
      </c>
      <c r="T226" s="272">
        <f>IF(AND($B54="x",T91=0),T54,IF($C54="x",IF(T54&gt;0,T54*(0.0+1.0*$L$94),T54),0))</f>
        <v/>
      </c>
      <c r="U226" s="272">
        <f>IF(AND($B54="x",U91=0),U54,IF($C54="x",U54,0))</f>
        <v/>
      </c>
      <c r="V226" s="272">
        <f>IF(AND($B54="x",V91=0),V54,IF($C54="x",V54,0))</f>
        <v/>
      </c>
    </row>
    <row r="227" hidden="1" outlineLevel="1">
      <c r="A227" s="222" t="inlineStr">
        <is>
          <t>· Leber-Supplemente (TUDCA, NAC)</t>
        </is>
      </c>
      <c r="G227" s="272">
        <f>IF(AND($B55="x",G91=0),G55,IF($C55="x",G55,0))</f>
        <v/>
      </c>
      <c r="H227" s="272">
        <f>IF(AND($B55="x",H91=0),H55,IF($C55="x",H55,0))</f>
        <v/>
      </c>
      <c r="I227" s="272">
        <f>IF(AND($B55="x",I91=0),I55,IF($C55="x",I55,0))</f>
        <v/>
      </c>
      <c r="J227" s="272">
        <f>IF(AND($B55="x",J91=0),J55,IF($C55="x",J55,0))</f>
        <v/>
      </c>
      <c r="K227" s="272">
        <f>IF(AND($B55="x",K91=0),K55,IF($C55="x",K55,0))</f>
        <v/>
      </c>
      <c r="L227" s="272">
        <f>IF(AND($B55="x",L91=0),L55,IF($C55="x",L55,0))</f>
        <v/>
      </c>
      <c r="M227" s="272">
        <f>IF(AND($B55="x",M91=0),M55,IF($C55="x",M55,0))</f>
        <v/>
      </c>
      <c r="N227" s="272">
        <f>IF(AND($B55="x",N91=0),N55,IF($C55="x",N55,0))</f>
        <v/>
      </c>
      <c r="O227" s="272">
        <f>IF(AND($B55="x",O91=0),O55,IF($C55="x",O55,0))</f>
        <v/>
      </c>
      <c r="P227" s="272">
        <f>IF(AND($B55="x",P91=0),P55,IF($C55="x",P55,0))</f>
        <v/>
      </c>
      <c r="Q227" s="272">
        <f>IF(AND($B55="x",Q91=0),Q55,IF($C55="x",Q55,0))</f>
        <v/>
      </c>
      <c r="R227" s="272">
        <f>IF(AND($B55="x",R91=0),R55,IF($C55="x",R55,0))</f>
        <v/>
      </c>
      <c r="S227" s="272">
        <f>IF(AND($B55="x",S91=0),S55,IF($C55="x",S55,0))</f>
        <v/>
      </c>
      <c r="T227" s="272">
        <f>IF(AND($B55="x",T91=0),T55,IF($C55="x",T55,0))</f>
        <v/>
      </c>
      <c r="U227" s="272">
        <f>IF(AND($B55="x",U91=0),U55,IF($C55="x",U55,0))</f>
        <v/>
      </c>
      <c r="V227" s="272">
        <f>IF(AND($B55="x",V91=0),V55,IF($C55="x",V55,0))</f>
        <v/>
      </c>
    </row>
    <row r="228" hidden="1" outlineLevel="1">
      <c r="A228" s="222" t="inlineStr">
        <is>
          <t>· Ausdauertraining und Koerperfett runter</t>
        </is>
      </c>
      <c r="G228" s="272">
        <f>IF(AND($B56="x",G91=0),G56,IF($C56="x",G56,0))</f>
        <v/>
      </c>
      <c r="H228" s="272">
        <f>IF(AND($B56="x",H91=0),H56,IF($C56="x",IF(H56&gt;0,H56*(0.3+0.7*$J$94),H56),0))</f>
        <v/>
      </c>
      <c r="I228" s="272">
        <f>IF(AND($B56="x",I91=0),I56,IF($C56="x",I56,0))</f>
        <v/>
      </c>
      <c r="J228" s="272">
        <f>IF(AND($B56="x",J91=0),J56,IF($C56="x",IF(J56&gt;0,J56*(0.35+0.65*$G$94),J56),0))</f>
        <v/>
      </c>
      <c r="K228" s="272">
        <f>IF(AND($B56="x",K91=0),K56,IF($C56="x",K56,0))</f>
        <v/>
      </c>
      <c r="L228" s="272">
        <f>IF(AND($B56="x",L91=0),L56,IF($C56="x",L56,0))</f>
        <v/>
      </c>
      <c r="M228" s="272">
        <f>IF(AND($B56="x",M91=0),M56,IF($C56="x",M56,0))</f>
        <v/>
      </c>
      <c r="N228" s="272">
        <f>IF(AND($B56="x",N91=0),N56,IF($C56="x",N56,0))</f>
        <v/>
      </c>
      <c r="O228" s="272">
        <f>IF(AND($B56="x",O91=0),O56,IF($C56="x",IF(O56&gt;0,O56*(0.4+0.6*$G$94),O56),0))</f>
        <v/>
      </c>
      <c r="P228" s="272">
        <f>IF(AND($B56="x",P91=0),P56,IF($C56="x",IF(P56&gt;0,P56*(0.3+0.7*$K$94),P56),0))</f>
        <v/>
      </c>
      <c r="Q228" s="272">
        <f>IF(AND($B56="x",Q91=0),Q56,IF($C56="x",Q56,0))</f>
        <v/>
      </c>
      <c r="R228" s="272">
        <f>IF(AND($B56="x",R91=0),R56,IF($C56="x",R56,0))</f>
        <v/>
      </c>
      <c r="S228" s="272">
        <f>IF(AND($B56="x",S91=0),S56,IF($C56="x",S56,0))</f>
        <v/>
      </c>
      <c r="T228" s="272">
        <f>IF(AND($B56="x",T91=0),T56,IF($C56="x",IF(T56&gt;0,T56*(0.35+0.65*$L$94),T56),0))</f>
        <v/>
      </c>
      <c r="U228" s="272">
        <f>IF(AND($B56="x",U91=0),U56,IF($C56="x",U56,0))</f>
        <v/>
      </c>
      <c r="V228" s="272">
        <f>IF(AND($B56="x",V91=0),V56,IF($C56="x",V56,0))</f>
        <v/>
      </c>
    </row>
    <row r="229" hidden="1" outlineLevel="1">
      <c r="A229" s="222" t="inlineStr">
        <is>
          <t>· Salzreduktion</t>
        </is>
      </c>
      <c r="G229" s="272">
        <f>IF(AND($B57="x",G91=0),G57,IF($C57="x",G57,0))</f>
        <v/>
      </c>
      <c r="H229" s="272">
        <f>IF(AND($B57="x",H91=0),H57,IF($C57="x",H57,0))</f>
        <v/>
      </c>
      <c r="I229" s="272">
        <f>IF(AND($B57="x",I91=0),I57,IF($C57="x",I57,0))</f>
        <v/>
      </c>
      <c r="J229" s="272">
        <f>IF(AND($B57="x",J91=0),J57,IF($C57="x",IF(J57&gt;0,J57*(0.1+0.9*$G$94),J57),0))</f>
        <v/>
      </c>
      <c r="K229" s="272">
        <f>IF(AND($B57="x",K91=0),K57,IF($C57="x",K57,0))</f>
        <v/>
      </c>
      <c r="L229" s="272">
        <f>IF(AND($B57="x",L91=0),L57,IF($C57="x",L57,0))</f>
        <v/>
      </c>
      <c r="M229" s="272">
        <f>IF(AND($B57="x",M91=0),M57,IF($C57="x",M57,0))</f>
        <v/>
      </c>
      <c r="N229" s="272">
        <f>IF(AND($B57="x",N91=0),N57,IF($C57="x",N57,0))</f>
        <v/>
      </c>
      <c r="O229" s="272">
        <f>IF(AND($B57="x",O91=0),O57,IF($C57="x",IF(O57&gt;0,O57*(0.2+0.8*$G$94),O57),0))</f>
        <v/>
      </c>
      <c r="P229" s="272">
        <f>IF(AND($B57="x",P91=0),P57,IF($C57="x",P57,0))</f>
        <v/>
      </c>
      <c r="Q229" s="272">
        <f>IF(AND($B57="x",Q91=0),Q57,IF($C57="x",Q57,0))</f>
        <v/>
      </c>
      <c r="R229" s="272">
        <f>IF(AND($B57="x",R91=0),R57,IF($C57="x",R57,0))</f>
        <v/>
      </c>
      <c r="S229" s="272">
        <f>IF(AND($B57="x",S91=0),S57,IF($C57="x",S57,0))</f>
        <v/>
      </c>
      <c r="T229" s="272">
        <f>IF(AND($B57="x",T91=0),T57,IF($C57="x",T57,0))</f>
        <v/>
      </c>
      <c r="U229" s="272">
        <f>IF(AND($B57="x",U91=0),U57,IF($C57="x",U57,0))</f>
        <v/>
      </c>
      <c r="V229" s="272">
        <f>IF(AND($B57="x",V91=0),V57,IF($C57="x",V57,0))</f>
        <v/>
      </c>
    </row>
    <row r="230" hidden="1" outlineLevel="1">
      <c r="A230" s="222" t="inlineStr">
        <is>
          <t>· Aromatasehemmer</t>
        </is>
      </c>
      <c r="G230" s="272">
        <f>IF(AND($B58="x",G91=0),G58,IF($C58="x",G58,0))</f>
        <v/>
      </c>
      <c r="H230" s="272">
        <f>IF(OR($B58="x",$C58="x"),H58,0)</f>
        <v/>
      </c>
      <c r="I230" s="272">
        <f>IF(AND($B58="x",I91=0),I58,IF($C58="x",I58,0))</f>
        <v/>
      </c>
      <c r="J230" s="272">
        <f>IF(AND($B58="x",J91=0),J58,IF($C58="x",J58,0))</f>
        <v/>
      </c>
      <c r="K230" s="272">
        <f>IF(AND($B58="x",K91=0),K58,IF($C58="x",K58,0))</f>
        <v/>
      </c>
      <c r="L230" s="272">
        <f>IF(AND($B58="x",L91=0),L58,IF($C58="x",L58,0))</f>
        <v/>
      </c>
      <c r="M230" s="272">
        <f>IF(AND($B58="x",M91=0),M58,IF($C58="x",M58,0))</f>
        <v/>
      </c>
      <c r="N230" s="272">
        <f>IF(OR($B58="x",$C58="x"),N58,0)</f>
        <v/>
      </c>
      <c r="O230" s="272">
        <f>IF(AND($B58="x",O91=0),O58,IF($C58="x",O58,0))</f>
        <v/>
      </c>
      <c r="P230" s="272">
        <f>IF(AND($B58="x",P91=0),P58,IF($C58="x",P58,0))</f>
        <v/>
      </c>
      <c r="Q230" s="272">
        <f>IF(AND($B58="x",Q91=0),Q58,IF($C58="x",Q58,0))</f>
        <v/>
      </c>
      <c r="R230" s="272">
        <f>IF(AND($B58="x",R91=0),R58,IF($C58="x",R58,0))</f>
        <v/>
      </c>
      <c r="S230" s="272">
        <f>IF(AND($B58="x",S91=0),S58,IF($C58="x",S58,0))</f>
        <v/>
      </c>
      <c r="T230" s="272">
        <f>IF(AND($B58="x",T91=0),T58,IF($C58="x",T58,0))</f>
        <v/>
      </c>
      <c r="U230" s="272">
        <f>IF(AND($B58="x",U91=0),U58,IF($C58="x",U58,0))</f>
        <v/>
      </c>
      <c r="V230" s="272">
        <f>IF(AND($B58="x",V91=0),V58,IF($C58="x",V58,0))</f>
        <v/>
      </c>
    </row>
    <row r="231" hidden="1" outlineLevel="1">
      <c r="A231" s="222" t="inlineStr">
        <is>
          <t>· 5-alpha-Reduktase-Hemmer</t>
        </is>
      </c>
      <c r="G231" s="272">
        <f>IF(AND($B59="x",G91=0),G59,IF($C59="x",G59,0))</f>
        <v/>
      </c>
      <c r="H231" s="272">
        <f>IF(AND($B59="x",H91=0),H59,IF($C59="x",H59,0))</f>
        <v/>
      </c>
      <c r="I231" s="272">
        <f>IF(AND($B59="x",I91=0),I59,IF($C59="x",I59,0))</f>
        <v/>
      </c>
      <c r="J231" s="272">
        <f>IF(AND($B59="x",J91=0),J59,IF($C59="x",J59,0))</f>
        <v/>
      </c>
      <c r="K231" s="272">
        <f>IF(AND($B59="x",K91=0),K59,IF($C59="x",K59,0))</f>
        <v/>
      </c>
      <c r="L231" s="272">
        <f>IF(AND($B59="x",L91=0),L59,IF($C59="x",L59,0))</f>
        <v/>
      </c>
      <c r="M231" s="272">
        <f>IF(AND($B59="x",M91=0),M59,IF($C59="x",M59,0))</f>
        <v/>
      </c>
      <c r="N231" s="272">
        <f>IF(OR($B59="x",$C59="x"),N59,0)</f>
        <v/>
      </c>
      <c r="O231" s="272">
        <f>IF(AND($B59="x",O91=0),O59,IF($C59="x",O59,0))</f>
        <v/>
      </c>
      <c r="P231" s="272">
        <f>IF(AND($B59="x",P91=0),P59,IF($C59="x",P59,0))</f>
        <v/>
      </c>
      <c r="Q231" s="272">
        <f>IF(AND($B59="x",Q91=0),Q59,IF($C59="x",Q59,0))</f>
        <v/>
      </c>
      <c r="R231" s="272">
        <f>IF(AND($B59="x",R91=0),R59,IF($C59="x",R59,0))</f>
        <v/>
      </c>
      <c r="S231" s="272">
        <f>IF(AND($B59="x",S91=0),S59,IF($C59="x",S59,0))</f>
        <v/>
      </c>
      <c r="T231" s="272">
        <f>IF(AND($B59="x",T91=0),T59,IF($C59="x",T59,0))</f>
        <v/>
      </c>
      <c r="U231" s="272">
        <f>IF(AND($B59="x",U91=0),U59,IF($C59="x",U59,0))</f>
        <v/>
      </c>
      <c r="V231" s="272">
        <f>IF(AND($B59="x",V91=0),V59,IF($C59="x",V59,0))</f>
        <v/>
      </c>
    </row>
    <row r="232" hidden="1" outlineLevel="1">
      <c r="A232" s="222" t="inlineStr">
        <is>
          <t>· ASS niedrig dosiert</t>
        </is>
      </c>
      <c r="G232" s="272">
        <f>IF(AND($B60="x",G91=0),G60,IF($C60="x",G60,0))</f>
        <v/>
      </c>
      <c r="H232" s="272">
        <f>IF(AND($B60="x",H91=0),H60,IF($C60="x",H60,0))</f>
        <v/>
      </c>
      <c r="I232" s="272">
        <f>IF(AND($B60="x",I91=0),I60,IF($C60="x",I60,0))</f>
        <v/>
      </c>
      <c r="J232" s="272">
        <f>IF(AND($B60="x",J91=0),J60,IF($C60="x",J60,0))</f>
        <v/>
      </c>
      <c r="K232" s="272">
        <f>IF(AND($B60="x",K91=0),K60,IF($C60="x",K60,0))</f>
        <v/>
      </c>
      <c r="L232" s="272">
        <f>IF(AND($B60="x",L91=0),L60,IF($C60="x",L60,0))</f>
        <v/>
      </c>
      <c r="M232" s="272">
        <f>IF(AND($B60="x",M91=0),M60,IF($C60="x",M60,0))</f>
        <v/>
      </c>
      <c r="N232" s="272">
        <f>IF(AND($B60="x",N91=0),N60,IF($C60="x",N60,0))</f>
        <v/>
      </c>
      <c r="O232" s="272">
        <f>IF(AND($B60="x",O91=0),O60,IF($C60="x",O60,0))</f>
        <v/>
      </c>
      <c r="P232" s="272">
        <f>IF(AND($B60="x",P91=0),P60,IF($C60="x",P60,0))</f>
        <v/>
      </c>
      <c r="Q232" s="272">
        <f>IF(AND($B60="x",Q91=0),Q60,IF($C60="x",Q60,0))</f>
        <v/>
      </c>
      <c r="R232" s="272">
        <f>IF(AND($B60="x",R91=0),R60,IF($C60="x",R60,0))</f>
        <v/>
      </c>
      <c r="S232" s="272">
        <f>IF(AND($B60="x",S91=0),S60,IF($C60="x",S60,0))</f>
        <v/>
      </c>
      <c r="T232" s="272">
        <f>IF(AND($B60="x",T91=0),T60,IF($C60="x",T60,0))</f>
        <v/>
      </c>
      <c r="U232" s="272">
        <f>IF(AND($B60="x",U91=0),U60,IF($C60="x",U60,0))</f>
        <v/>
      </c>
      <c r="V232" s="272">
        <f>IF(AND($B60="x",V91=0),V60,IF($C60="x",V60,0))</f>
        <v/>
      </c>
    </row>
    <row r="233" hidden="1" outlineLevel="1">
      <c r="A233" s="222" t="inlineStr">
        <is>
          <t>· Cabergolin oder P5P</t>
        </is>
      </c>
      <c r="G233" s="272">
        <f>IF(AND($B61="x",G91=0),G61,IF($C61="x",G61,0))</f>
        <v/>
      </c>
      <c r="H233" s="272">
        <f>IF(AND($B61="x",H91=0),H61,IF($C61="x",H61,0))</f>
        <v/>
      </c>
      <c r="I233" s="272">
        <f>IF(AND($B61="x",I91=0),I61,IF($C61="x",I61,0))</f>
        <v/>
      </c>
      <c r="J233" s="272">
        <f>IF(AND($B61="x",J91=0),J61,IF($C61="x",J61,0))</f>
        <v/>
      </c>
      <c r="K233" s="272">
        <f>IF(AND($B61="x",K91=0),K61,IF($C61="x",K61,0))</f>
        <v/>
      </c>
      <c r="L233" s="272">
        <f>IF(AND($B61="x",L91=0),L61,IF($C61="x",L61,0))</f>
        <v/>
      </c>
      <c r="M233" s="272">
        <f>IF(AND($B61="x",M91=0),M61,IF($C61="x",M61,0))</f>
        <v/>
      </c>
      <c r="N233" s="272">
        <f>IF(AND($B61="x",N91=0),N61,IF($C61="x",N61,0))</f>
        <v/>
      </c>
      <c r="O233" s="272">
        <f>IF(AND($B61="x",O91=0),O61,IF($C61="x",O61,0))</f>
        <v/>
      </c>
      <c r="P233" s="272">
        <f>IF(AND($B61="x",P91=0),P61,IF($C61="x",P61,0))</f>
        <v/>
      </c>
      <c r="Q233" s="272">
        <f>IF(AND($B61="x",Q91=0),Q61,IF($C61="x",Q61,0))</f>
        <v/>
      </c>
      <c r="R233" s="272">
        <f>IF(AND($B61="x",R91=0),R61,IF($C61="x",R61,0))</f>
        <v/>
      </c>
      <c r="S233" s="272">
        <f>IF(AND($B61="x",S91=0),S61,IF($C61="x",S61,0))</f>
        <v/>
      </c>
      <c r="T233" s="272">
        <f>IF(AND($B61="x",T91=0),T61,IF($C61="x",T61,0))</f>
        <v/>
      </c>
      <c r="U233" s="272">
        <f>IF(AND($B61="x",U91=0),U61,IF($C61="x",U61,0))</f>
        <v/>
      </c>
      <c r="V233" s="272">
        <f>IF(AND($B61="x",V91=0),V61,IF($C61="x",V61,0))</f>
        <v/>
      </c>
    </row>
    <row r="234" hidden="1" outlineLevel="1">
      <c r="A234" s="222" t="inlineStr">
        <is>
          <t>· SERM (Tamoxifen, Raloxifen, Enclomifen)</t>
        </is>
      </c>
      <c r="G234" s="272">
        <f>IF(AND($B62="x",G91=0),G62,IF($C62="x",G62,0))</f>
        <v/>
      </c>
      <c r="H234" s="272">
        <f>IF(AND($B62="x",H91=0),H62,IF($C62="x",H62,0))</f>
        <v/>
      </c>
      <c r="I234" s="272">
        <f>IF(AND($B62="x",I91=0),I62,IF($C62="x",I62,0))</f>
        <v/>
      </c>
      <c r="J234" s="272">
        <f>IF(AND($B62="x",J91=0),J62,IF($C62="x",J62,0))</f>
        <v/>
      </c>
      <c r="K234" s="272">
        <f>IF(AND($B62="x",K91=0),K62,IF($C62="x",K62,0))</f>
        <v/>
      </c>
      <c r="L234" s="272">
        <f>IF(AND($B62="x",L91=0),L62,IF($C62="x",L62,0))</f>
        <v/>
      </c>
      <c r="M234" s="272">
        <f>IF(AND($B62="x",M91=0),M62,IF($C62="x",M62,0))</f>
        <v/>
      </c>
      <c r="N234" s="272">
        <f>IF(OR($B62="x",$C62="x"),N62,0)</f>
        <v/>
      </c>
      <c r="O234" s="272">
        <f>IF(AND($B62="x",O91=0),O62,IF($C62="x",O62,0))</f>
        <v/>
      </c>
      <c r="P234" s="272">
        <f>IF(AND($B62="x",P91=0),P62,IF($C62="x",P62,0))</f>
        <v/>
      </c>
      <c r="Q234" s="272">
        <f>IF(AND($B62="x",Q91=0),Q62,IF($C62="x",Q62,0))</f>
        <v/>
      </c>
      <c r="R234" s="272">
        <f>IF(AND($B62="x",R91=0),R62,IF($C62="x",R62,0))</f>
        <v/>
      </c>
      <c r="S234" s="272">
        <f>IF(AND($B62="x",S91=0),S62,IF($C62="x",S62,0))</f>
        <v/>
      </c>
      <c r="T234" s="272">
        <f>IF(AND($B62="x",T91=0),T62,IF($C62="x",T62,0))</f>
        <v/>
      </c>
      <c r="U234" s="272">
        <f>IF(AND($B62="x",U91=0),U62,IF($C62="x",U62,0))</f>
        <v/>
      </c>
      <c r="V234" s="272">
        <f>IF(AND($B62="x",V91=0),V62,IF($C62="x",V62,0))</f>
        <v/>
      </c>
    </row>
    <row r="235" hidden="1" outlineLevel="1">
      <c r="A235" s="222" t="inlineStr">
        <is>
          <t>· Testosteron</t>
        </is>
      </c>
      <c r="G235" s="272">
        <f>IF(AND($B63="x",G91=0),G63,IF($C63="x",G63,0))</f>
        <v/>
      </c>
      <c r="H235" s="272">
        <f>IF(AND($B63="x",H91=0),H63,IF($C63="x",H63,0))</f>
        <v/>
      </c>
      <c r="I235" s="272">
        <f>IF(AND($B63="x",I91=0),I63,IF($C63="x",I63,0))</f>
        <v/>
      </c>
      <c r="J235" s="272">
        <f>IF(AND($B63="x",J91=0),J63,IF($C63="x",J63,0))</f>
        <v/>
      </c>
      <c r="K235" s="272">
        <f>IF(AND($B63="x",K91=0),K63,IF($C63="x",K63,0))</f>
        <v/>
      </c>
      <c r="L235" s="272">
        <f>IF(AND($B63="x",L91=0),L63,IF($C63="x",L63,0))</f>
        <v/>
      </c>
      <c r="M235" s="272">
        <f>IF(AND($B63="x",M91=0),M63,IF($C63="x",M63,0))</f>
        <v/>
      </c>
      <c r="N235" s="272">
        <f>IF(AND($B63="x",N91=0),N63,IF($C63="x",N63,0))</f>
        <v/>
      </c>
      <c r="O235" s="272">
        <f>IF(AND($B63="x",O91=0),O63,IF($C63="x",O63,0))</f>
        <v/>
      </c>
      <c r="P235" s="272">
        <f>IF(AND($B63="x",P91=0),P63,IF($C63="x",P63,0))</f>
        <v/>
      </c>
      <c r="Q235" s="272">
        <f>IF(AND($B63="x",Q91=0),Q63,IF($C63="x",Q63,0))</f>
        <v/>
      </c>
      <c r="R235" s="272">
        <f>IF(AND($B63="x",R91=0),R63,IF($C63="x",R63,0))</f>
        <v/>
      </c>
      <c r="S235" s="272">
        <f>IF(AND($B63="x",S91=0),S63,IF($C63="x",S63,0))</f>
        <v/>
      </c>
      <c r="T235" s="272">
        <f>IF(AND($B63="x",T91=0),T63,IF($C63="x",T63,0))</f>
        <v/>
      </c>
      <c r="U235" s="272">
        <f>IF(AND($B63="x",U91=0),U63,IF($C63="x",U63,0))</f>
        <v/>
      </c>
      <c r="V235" s="272">
        <f>IF(AND($B63="x",V91=0),V63,IF($C63="x",V63,0))</f>
        <v/>
      </c>
    </row>
    <row r="236" hidden="1" outlineLevel="1">
      <c r="A236" s="222" t="inlineStr">
        <is>
          <t>· Nandrolon</t>
        </is>
      </c>
      <c r="G236" s="272">
        <f>IF(OR($B64="x",$C64="x"),G64,0)</f>
        <v/>
      </c>
      <c r="H236" s="272">
        <f>IF(OR($B64="x",$C64="x"),H64,0)</f>
        <v/>
      </c>
      <c r="I236" s="272">
        <f>IF(AND($B64="x",I91=0),I64,IF($C64="x",I64,0))</f>
        <v/>
      </c>
      <c r="J236" s="272">
        <f>IF(OR($B64="x",$C64="x"),J64,0)</f>
        <v/>
      </c>
      <c r="K236" s="272">
        <f>IF(OR($B64="x",$C64="x"),K64,0)</f>
        <v/>
      </c>
      <c r="L236" s="272">
        <f>IF(AND($B64="x",L91=0),L64,IF($C64="x",L64,0))</f>
        <v/>
      </c>
      <c r="M236" s="272">
        <f>IF(AND($B64="x",M91=0),M64,IF($C64="x",M64,0))</f>
        <v/>
      </c>
      <c r="N236" s="272">
        <f>IF(OR($B64="x",$C64="x"),N64,0)</f>
        <v/>
      </c>
      <c r="O236" s="272">
        <f>IF(OR($B64="x",$C64="x"),O64,0)</f>
        <v/>
      </c>
      <c r="P236" s="272">
        <f>IF(AND($B64="x",P91=0),P64,IF($C64="x",P64,0))</f>
        <v/>
      </c>
      <c r="Q236" s="272">
        <f>IF(AND($B64="x",Q91=0),Q64,IF($C64="x",Q64,0))</f>
        <v/>
      </c>
      <c r="R236" s="272">
        <f>IF(AND($B64="x",R91=0),R64,IF($C64="x",R64,0))</f>
        <v/>
      </c>
      <c r="S236" s="272">
        <f>IF(AND($B64="x",S91=0),S64,IF($C64="x",S64,0))</f>
        <v/>
      </c>
      <c r="T236" s="272">
        <f>IF(AND($B64="x",T91=0),T64,IF($C64="x",T64,0))</f>
        <v/>
      </c>
      <c r="U236" s="272">
        <f>IF(AND($B64="x",U91=0),U64,IF($C64="x",U64,0))</f>
        <v/>
      </c>
      <c r="V236" s="272">
        <f>IF(AND($B64="x",V91=0),V64,IF($C64="x",V64,0))</f>
        <v/>
      </c>
    </row>
    <row r="237" hidden="1" outlineLevel="1">
      <c r="A237" s="222" t="inlineStr">
        <is>
          <t>· Trenbolon</t>
        </is>
      </c>
      <c r="G237" s="272">
        <f>IF(OR($B65="x",$C65="x"),G65,0)</f>
        <v/>
      </c>
      <c r="H237" s="272">
        <f>IF(OR($B65="x",$C65="x"),H65,0)</f>
        <v/>
      </c>
      <c r="I237" s="272">
        <f>IF(AND($B65="x",I91=0),I65,IF($C65="x",I65,0))</f>
        <v/>
      </c>
      <c r="J237" s="272">
        <f>IF(OR($B65="x",$C65="x"),J65,0)</f>
        <v/>
      </c>
      <c r="K237" s="272">
        <f>IF(OR($B65="x",$C65="x"),K65,0)</f>
        <v/>
      </c>
      <c r="L237" s="272">
        <f>IF(AND($B65="x",L91=0),L65,IF($C65="x",L65,0))</f>
        <v/>
      </c>
      <c r="M237" s="272">
        <f>IF(AND($B65="x",M91=0),M65,IF($C65="x",M65,0))</f>
        <v/>
      </c>
      <c r="N237" s="272">
        <f>IF(OR($B65="x",$C65="x"),N65,0)</f>
        <v/>
      </c>
      <c r="O237" s="272">
        <f>IF(OR($B65="x",$C65="x"),O65,0)</f>
        <v/>
      </c>
      <c r="P237" s="272">
        <f>IF(AND($B65="x",P91=0),P65,IF($C65="x",P65,0))</f>
        <v/>
      </c>
      <c r="Q237" s="272">
        <f>IF(OR($B65="x",$C65="x"),Q65,0)</f>
        <v/>
      </c>
      <c r="R237" s="272">
        <f>IF(OR($B65="x",$C65="x"),R65,0)</f>
        <v/>
      </c>
      <c r="S237" s="272">
        <f>IF(AND($B65="x",S91=0),S65,IF($C65="x",S65,0))</f>
        <v/>
      </c>
      <c r="T237" s="272">
        <f>IF(AND($B65="x",T91=0),T65,IF($C65="x",T65,0))</f>
        <v/>
      </c>
      <c r="U237" s="272">
        <f>IF(AND($B65="x",U91=0),U65,IF($C65="x",U65,0))</f>
        <v/>
      </c>
      <c r="V237" s="272">
        <f>IF(OR($B65="x",$C65="x"),V65,0)</f>
        <v/>
      </c>
    </row>
    <row r="238" hidden="1" outlineLevel="1">
      <c r="A238" s="222" t="inlineStr">
        <is>
          <t>· Boldenon</t>
        </is>
      </c>
      <c r="G238" s="272">
        <f>IF(OR($B66="x",$C66="x"),G66,0)</f>
        <v/>
      </c>
      <c r="H238" s="272">
        <f>IF(OR($B66="x",$C66="x"),H66,0)</f>
        <v/>
      </c>
      <c r="I238" s="272">
        <f>IF(AND($B66="x",I91=0),I66,IF($C66="x",I66,0))</f>
        <v/>
      </c>
      <c r="J238" s="272">
        <f>IF(AND($B66="x",J91=0),J66,IF($C66="x",J66,0))</f>
        <v/>
      </c>
      <c r="K238" s="272">
        <f>IF(AND($B66="x",K91=0),K66,IF($C66="x",K66,0))</f>
        <v/>
      </c>
      <c r="L238" s="272">
        <f>IF(AND($B66="x",L91=0),L66,IF($C66="x",L66,0))</f>
        <v/>
      </c>
      <c r="M238" s="272">
        <f>IF(AND($B66="x",M91=0),M66,IF($C66="x",M66,0))</f>
        <v/>
      </c>
      <c r="N238" s="272">
        <f>IF(OR($B66="x",$C66="x"),N66,0)</f>
        <v/>
      </c>
      <c r="O238" s="272">
        <f>IF(OR($B66="x",$C66="x"),O66,0)</f>
        <v/>
      </c>
      <c r="P238" s="272">
        <f>IF(AND($B66="x",P91=0),P66,IF($C66="x",P66,0))</f>
        <v/>
      </c>
      <c r="Q238" s="272">
        <f>IF(AND($B66="x",Q91=0),Q66,IF($C66="x",Q66,0))</f>
        <v/>
      </c>
      <c r="R238" s="272">
        <f>IF(OR($B66="x",$C66="x"),R66,0)</f>
        <v/>
      </c>
      <c r="S238" s="272">
        <f>IF(AND($B66="x",S91=0),S66,IF($C66="x",S66,0))</f>
        <v/>
      </c>
      <c r="T238" s="272">
        <f>IF(AND($B66="x",T91=0),T66,IF($C66="x",T66,0))</f>
        <v/>
      </c>
      <c r="U238" s="272">
        <f>IF(AND($B66="x",U91=0),U66,IF($C66="x",U66,0))</f>
        <v/>
      </c>
      <c r="V238" s="272">
        <f>IF(AND($B66="x",V91=0),V66,IF($C66="x",V66,0))</f>
        <v/>
      </c>
    </row>
    <row r="239" hidden="1" outlineLevel="1">
      <c r="A239" s="222" t="inlineStr">
        <is>
          <t>· Primobolan (Methenolon)</t>
        </is>
      </c>
      <c r="G239" s="272">
        <f>IF(OR($B67="x",$C67="x"),G67,0)</f>
        <v/>
      </c>
      <c r="H239" s="272">
        <f>IF(OR($B67="x",$C67="x"),H67,0)</f>
        <v/>
      </c>
      <c r="I239" s="272">
        <f>IF(AND($B67="x",I91=0),I67,IF($C67="x",I67,0))</f>
        <v/>
      </c>
      <c r="J239" s="272">
        <f>IF(AND($B67="x",J91=0),J67,IF($C67="x",J67,0))</f>
        <v/>
      </c>
      <c r="K239" s="272">
        <f>IF(AND($B67="x",K91=0),K67,IF($C67="x",K67,0))</f>
        <v/>
      </c>
      <c r="L239" s="272">
        <f>IF(AND($B67="x",L91=0),L67,IF($C67="x",L67,0))</f>
        <v/>
      </c>
      <c r="M239" s="272">
        <f>IF(AND($B67="x",M91=0),M67,IF($C67="x",M67,0))</f>
        <v/>
      </c>
      <c r="N239" s="272">
        <f>IF(AND($B67="x",N91=0),N67,IF($C67="x",N67,0))</f>
        <v/>
      </c>
      <c r="O239" s="272">
        <f>IF(AND($B67="x",O91=0),O67,IF($C67="x",O67,0))</f>
        <v/>
      </c>
      <c r="P239" s="272">
        <f>IF(AND($B67="x",P91=0),P67,IF($C67="x",P67,0))</f>
        <v/>
      </c>
      <c r="Q239" s="272">
        <f>IF(AND($B67="x",Q91=0),Q67,IF($C67="x",Q67,0))</f>
        <v/>
      </c>
      <c r="R239" s="272">
        <f>IF(AND($B67="x",R91=0),R67,IF($C67="x",R67,0))</f>
        <v/>
      </c>
      <c r="S239" s="272">
        <f>IF(AND($B67="x",S91=0),S67,IF($C67="x",S67,0))</f>
        <v/>
      </c>
      <c r="T239" s="272">
        <f>IF(AND($B67="x",T91=0),T67,IF($C67="x",T67,0))</f>
        <v/>
      </c>
      <c r="U239" s="272">
        <f>IF(AND($B67="x",U91=0),U67,IF($C67="x",U67,0))</f>
        <v/>
      </c>
      <c r="V239" s="272">
        <f>IF(OR($B67="x",$C67="x"),V67,0)</f>
        <v/>
      </c>
    </row>
    <row r="240" hidden="1" outlineLevel="1">
      <c r="A240" s="222" t="inlineStr">
        <is>
          <t>· Drostanolon</t>
        </is>
      </c>
      <c r="G240" s="272">
        <f>IF(OR($B68="x",$C68="x"),G68,0)</f>
        <v/>
      </c>
      <c r="H240" s="272">
        <f>IF(OR($B68="x",$C68="x"),H68,0)</f>
        <v/>
      </c>
      <c r="I240" s="272">
        <f>IF(AND($B68="x",I91=0),I68,IF($C68="x",I68,0))</f>
        <v/>
      </c>
      <c r="J240" s="272">
        <f>IF(AND($B68="x",J91=0),J68,IF($C68="x",J68,0))</f>
        <v/>
      </c>
      <c r="K240" s="272">
        <f>IF(AND($B68="x",K91=0),K68,IF($C68="x",K68,0))</f>
        <v/>
      </c>
      <c r="L240" s="272">
        <f>IF(AND($B68="x",L91=0),L68,IF($C68="x",L68,0))</f>
        <v/>
      </c>
      <c r="M240" s="272">
        <f>IF(AND($B68="x",M91=0),M68,IF($C68="x",M68,0))</f>
        <v/>
      </c>
      <c r="N240" s="272">
        <f>IF(AND($B68="x",N91=0),N68,IF($C68="x",N68,0))</f>
        <v/>
      </c>
      <c r="O240" s="272">
        <f>IF(AND($B68="x",O91=0),O68,IF($C68="x",O68,0))</f>
        <v/>
      </c>
      <c r="P240" s="272">
        <f>IF(AND($B68="x",P91=0),P68,IF($C68="x",P68,0))</f>
        <v/>
      </c>
      <c r="Q240" s="272">
        <f>IF(AND($B68="x",Q91=0),Q68,IF($C68="x",Q68,0))</f>
        <v/>
      </c>
      <c r="R240" s="272">
        <f>IF(AND($B68="x",R91=0),R68,IF($C68="x",R68,0))</f>
        <v/>
      </c>
      <c r="S240" s="272">
        <f>IF(AND($B68="x",S91=0),S68,IF($C68="x",S68,0))</f>
        <v/>
      </c>
      <c r="T240" s="272">
        <f>IF(AND($B68="x",T91=0),T68,IF($C68="x",T68,0))</f>
        <v/>
      </c>
      <c r="U240" s="272">
        <f>IF(AND($B68="x",U91=0),U68,IF($C68="x",U68,0))</f>
        <v/>
      </c>
      <c r="V240" s="272">
        <f>IF(OR($B68="x",$C68="x"),V68,0)</f>
        <v/>
      </c>
    </row>
    <row r="241" hidden="1" outlineLevel="1">
      <c r="A241" s="222" t="inlineStr">
        <is>
          <t>· Turinabol</t>
        </is>
      </c>
      <c r="G241" s="272">
        <f>IF(OR($B69="x",$C69="x"),G69,0)</f>
        <v/>
      </c>
      <c r="H241" s="272">
        <f>IF(OR($B69="x",$C69="x"),H69,0)</f>
        <v/>
      </c>
      <c r="I241" s="272">
        <f>IF(OR($B69="x",$C69="x"),I69,0)</f>
        <v/>
      </c>
      <c r="J241" s="272">
        <f>IF(AND($B69="x",J91=0),J69,IF($C69="x",J69,0))</f>
        <v/>
      </c>
      <c r="K241" s="272">
        <f>IF(AND($B69="x",K91=0),K69,IF($C69="x",K69,0))</f>
        <v/>
      </c>
      <c r="L241" s="272">
        <f>IF(AND($B69="x",L91=0),L69,IF($C69="x",L69,0))</f>
        <v/>
      </c>
      <c r="M241" s="272">
        <f>IF(AND($B69="x",M91=0),M69,IF($C69="x",M69,0))</f>
        <v/>
      </c>
      <c r="N241" s="272">
        <f>IF(OR($B69="x",$C69="x"),N69,0)</f>
        <v/>
      </c>
      <c r="O241" s="272">
        <f>IF(OR($B69="x",$C69="x"),O69,0)</f>
        <v/>
      </c>
      <c r="P241" s="272">
        <f>IF(AND($B69="x",P91=0),P69,IF($C69="x",P69,0))</f>
        <v/>
      </c>
      <c r="Q241" s="272">
        <f>IF(AND($B69="x",Q91=0),Q69,IF($C69="x",Q69,0))</f>
        <v/>
      </c>
      <c r="R241" s="272">
        <f>IF(AND($B69="x",R91=0),R69,IF($C69="x",R69,0))</f>
        <v/>
      </c>
      <c r="S241" s="272">
        <f>IF(OR($B69="x",$C69="x"),S69,0)</f>
        <v/>
      </c>
      <c r="T241" s="272">
        <f>IF(AND($B69="x",T91=0),T69,IF($C69="x",T69,0))</f>
        <v/>
      </c>
      <c r="U241" s="272">
        <f>IF(AND($B69="x",U91=0),U69,IF($C69="x",U69,0))</f>
        <v/>
      </c>
      <c r="V241" s="272">
        <f>IF(AND($B69="x",V91=0),V69,IF($C69="x",V69,0))</f>
        <v/>
      </c>
    </row>
    <row r="242" hidden="1" outlineLevel="1">
      <c r="A242" s="222" t="inlineStr">
        <is>
          <t>· Oxandrolon</t>
        </is>
      </c>
      <c r="G242" s="272">
        <f>IF(OR($B70="x",$C70="x"),G70,0)</f>
        <v/>
      </c>
      <c r="H242" s="272">
        <f>IF(OR($B70="x",$C70="x"),H70,0)</f>
        <v/>
      </c>
      <c r="I242" s="272">
        <f>IF(OR($B70="x",$C70="x"),I70,0)</f>
        <v/>
      </c>
      <c r="J242" s="272">
        <f>IF(AND($B70="x",J91=0),J70,IF($C70="x",J70,0))</f>
        <v/>
      </c>
      <c r="K242" s="272">
        <f>IF(AND($B70="x",K91=0),K70,IF($C70="x",K70,0))</f>
        <v/>
      </c>
      <c r="L242" s="272">
        <f>IF(AND($B70="x",L91=0),L70,IF($C70="x",L70,0))</f>
        <v/>
      </c>
      <c r="M242" s="272">
        <f>IF(AND($B70="x",M91=0),M70,IF($C70="x",M70,0))</f>
        <v/>
      </c>
      <c r="N242" s="272">
        <f>IF(OR($B70="x",$C70="x"),N70,0)</f>
        <v/>
      </c>
      <c r="O242" s="272">
        <f>IF(OR($B70="x",$C70="x"),O70,0)</f>
        <v/>
      </c>
      <c r="P242" s="272">
        <f>IF(AND($B70="x",P91=0),P70,IF($C70="x",P70,0))</f>
        <v/>
      </c>
      <c r="Q242" s="272">
        <f>IF(AND($B70="x",Q91=0),Q70,IF($C70="x",Q70,0))</f>
        <v/>
      </c>
      <c r="R242" s="272">
        <f>IF(OR($B70="x",$C70="x"),R70,0)</f>
        <v/>
      </c>
      <c r="S242" s="272">
        <f>IF(OR($B70="x",$C70="x"),S70,0)</f>
        <v/>
      </c>
      <c r="T242" s="272">
        <f>IF(AND($B70="x",T91=0),T70,IF($C70="x",T70,0))</f>
        <v/>
      </c>
      <c r="U242" s="272">
        <f>IF(AND($B70="x",U91=0),U70,IF($C70="x",U70,0))</f>
        <v/>
      </c>
      <c r="V242" s="272">
        <f>IF(AND($B70="x",V91=0),V70,IF($C70="x",V70,0))</f>
        <v/>
      </c>
    </row>
    <row r="243" hidden="1" outlineLevel="1">
      <c r="A243" s="222" t="inlineStr">
        <is>
          <t>· Methandienon</t>
        </is>
      </c>
      <c r="G243" s="272">
        <f>IF(OR($B71="x",$C71="x"),G71,0)</f>
        <v/>
      </c>
      <c r="H243" s="272">
        <f>IF(OR($B71="x",$C71="x"),H71,0)</f>
        <v/>
      </c>
      <c r="I243" s="272">
        <f>IF(OR($B71="x",$C71="x"),I71,0)</f>
        <v/>
      </c>
      <c r="J243" s="272">
        <f>IF(OR($B71="x",$C71="x"),J71,0)</f>
        <v/>
      </c>
      <c r="K243" s="272">
        <f>IF(AND($B71="x",K91=0),K71,IF($C71="x",K71,0))</f>
        <v/>
      </c>
      <c r="L243" s="272">
        <f>IF(AND($B71="x",L91=0),L71,IF($C71="x",L71,0))</f>
        <v/>
      </c>
      <c r="M243" s="272">
        <f>IF(AND($B71="x",M91=0),M71,IF($C71="x",M71,0))</f>
        <v/>
      </c>
      <c r="N243" s="272">
        <f>IF(OR($B71="x",$C71="x"),N71,0)</f>
        <v/>
      </c>
      <c r="O243" s="272">
        <f>IF(OR($B71="x",$C71="x"),O71,0)</f>
        <v/>
      </c>
      <c r="P243" s="272">
        <f>IF(AND($B71="x",P91=0),P71,IF($C71="x",P71,0))</f>
        <v/>
      </c>
      <c r="Q243" s="272">
        <f>IF(AND($B71="x",Q91=0),Q71,IF($C71="x",Q71,0))</f>
        <v/>
      </c>
      <c r="R243" s="272">
        <f>IF(AND($B71="x",R91=0),R71,IF($C71="x",R71,0))</f>
        <v/>
      </c>
      <c r="S243" s="272">
        <f>IF(OR($B71="x",$C71="x"),S71,0)</f>
        <v/>
      </c>
      <c r="T243" s="272">
        <f>IF(AND($B71="x",T91=0),T71,IF($C71="x",T71,0))</f>
        <v/>
      </c>
      <c r="U243" s="272">
        <f>IF(AND($B71="x",U91=0),U71,IF($C71="x",U71,0))</f>
        <v/>
      </c>
      <c r="V243" s="272">
        <f>IF(OR($B71="x",$C71="x"),V71,0)</f>
        <v/>
      </c>
    </row>
    <row r="244" hidden="1" outlineLevel="1">
      <c r="A244" s="222" t="inlineStr">
        <is>
          <t>· Stanozolol</t>
        </is>
      </c>
      <c r="G244" s="272">
        <f>IF(OR($B72="x",$C72="x"),G72,0)</f>
        <v/>
      </c>
      <c r="H244" s="272">
        <f>IF(OR($B72="x",$C72="x"),H72,0)</f>
        <v/>
      </c>
      <c r="I244" s="272">
        <f>IF(OR($B72="x",$C72="x"),I72,0)</f>
        <v/>
      </c>
      <c r="J244" s="272">
        <f>IF(AND($B72="x",J91=0),J72,IF($C72="x",J72,0))</f>
        <v/>
      </c>
      <c r="K244" s="272">
        <f>IF(AND($B72="x",K91=0),K72,IF($C72="x",K72,0))</f>
        <v/>
      </c>
      <c r="L244" s="272">
        <f>IF(OR($B72="x",$C72="x"),L72,0)</f>
        <v/>
      </c>
      <c r="M244" s="272">
        <f>IF(AND($B72="x",M91=0),M72,IF($C72="x",M72,0))</f>
        <v/>
      </c>
      <c r="N244" s="272">
        <f>IF(OR($B72="x",$C72="x"),N72,0)</f>
        <v/>
      </c>
      <c r="O244" s="272">
        <f>IF(OR($B72="x",$C72="x"),O72,0)</f>
        <v/>
      </c>
      <c r="P244" s="272">
        <f>IF(AND($B72="x",P91=0),P72,IF($C72="x",P72,0))</f>
        <v/>
      </c>
      <c r="Q244" s="272">
        <f>IF(AND($B72="x",Q91=0),Q72,IF($C72="x",Q72,0))</f>
        <v/>
      </c>
      <c r="R244" s="272">
        <f>IF(AND($B72="x",R91=0),R72,IF($C72="x",R72,0))</f>
        <v/>
      </c>
      <c r="S244" s="272">
        <f>IF(OR($B72="x",$C72="x"),S72,0)</f>
        <v/>
      </c>
      <c r="T244" s="272">
        <f>IF(AND($B72="x",T91=0),T72,IF($C72="x",T72,0))</f>
        <v/>
      </c>
      <c r="U244" s="272">
        <f>IF(AND($B72="x",U91=0),U72,IF($C72="x",U72,0))</f>
        <v/>
      </c>
      <c r="V244" s="272">
        <f>IF(AND($B72="x",V91=0),V72,IF($C72="x",V72,0))</f>
        <v/>
      </c>
    </row>
    <row r="245" hidden="1" outlineLevel="1">
      <c r="A245" s="222" t="inlineStr">
        <is>
          <t>· Oxymetholon</t>
        </is>
      </c>
      <c r="G245" s="272">
        <f>IF(OR($B73="x",$C73="x"),G73,0)</f>
        <v/>
      </c>
      <c r="H245" s="272">
        <f>IF(OR($B73="x",$C73="x"),H73,0)</f>
        <v/>
      </c>
      <c r="I245" s="272">
        <f>IF(OR($B73="x",$C73="x"),I73,0)</f>
        <v/>
      </c>
      <c r="J245" s="272">
        <f>IF(OR($B73="x",$C73="x"),J73,0)</f>
        <v/>
      </c>
      <c r="K245" s="272">
        <f>IF(AND($B73="x",K91=0),K73,IF($C73="x",K73,0))</f>
        <v/>
      </c>
      <c r="L245" s="272">
        <f>IF(AND($B73="x",L91=0),L73,IF($C73="x",L73,0))</f>
        <v/>
      </c>
      <c r="M245" s="272">
        <f>IF(AND($B73="x",M91=0),M73,IF($C73="x",M73,0))</f>
        <v/>
      </c>
      <c r="N245" s="272">
        <f>IF(OR($B73="x",$C73="x"),N73,0)</f>
        <v/>
      </c>
      <c r="O245" s="272">
        <f>IF(OR($B73="x",$C73="x"),O73,0)</f>
        <v/>
      </c>
      <c r="P245" s="272">
        <f>IF(AND($B73="x",P91=0),P73,IF($C73="x",P73,0))</f>
        <v/>
      </c>
      <c r="Q245" s="272">
        <f>IF(AND($B73="x",Q91=0),Q73,IF($C73="x",Q73,0))</f>
        <v/>
      </c>
      <c r="R245" s="272">
        <f>IF(AND($B73="x",R91=0),R73,IF($C73="x",R73,0))</f>
        <v/>
      </c>
      <c r="S245" s="272">
        <f>IF(OR($B73="x",$C73="x"),S73,0)</f>
        <v/>
      </c>
      <c r="T245" s="272">
        <f>IF(AND($B73="x",T91=0),T73,IF($C73="x",T73,0))</f>
        <v/>
      </c>
      <c r="U245" s="272">
        <f>IF(AND($B73="x",U91=0),U73,IF($C73="x",U73,0))</f>
        <v/>
      </c>
      <c r="V245" s="272">
        <f>IF(AND($B73="x",V91=0),V73,IF($C73="x",V73,0))</f>
        <v/>
      </c>
    </row>
    <row r="246" hidden="1" outlineLevel="1">
      <c r="A246" s="222" t="inlineStr">
        <is>
          <t>· SARM (RAD-140, LGD-4033, Ostarin)</t>
        </is>
      </c>
      <c r="G246" s="272">
        <f>IF(OR($B74="x",$C74="x"),G74,0)</f>
        <v/>
      </c>
      <c r="H246" s="272">
        <f>IF(OR($B74="x",$C74="x"),H74,0)</f>
        <v/>
      </c>
      <c r="I246" s="272">
        <f>IF(OR($B74="x",$C74="x"),I74,0)</f>
        <v/>
      </c>
      <c r="J246" s="272">
        <f>IF(AND($B74="x",J91=0),J74,IF($C74="x",J74,0))</f>
        <v/>
      </c>
      <c r="K246" s="272">
        <f>IF(AND($B74="x",K91=0),K74,IF($C74="x",K74,0))</f>
        <v/>
      </c>
      <c r="L246" s="272">
        <f>IF(AND($B74="x",L91=0),L74,IF($C74="x",L74,0))</f>
        <v/>
      </c>
      <c r="M246" s="272">
        <f>IF(AND($B74="x",M91=0),M74,IF($C74="x",M74,0))</f>
        <v/>
      </c>
      <c r="N246" s="272">
        <f>IF(OR($B74="x",$C74="x"),N74,0)</f>
        <v/>
      </c>
      <c r="O246" s="272">
        <f>IF(AND($B74="x",O91=0),O74,IF($C74="x",O74,0))</f>
        <v/>
      </c>
      <c r="P246" s="272">
        <f>IF(AND($B74="x",P91=0),P74,IF($C74="x",P74,0))</f>
        <v/>
      </c>
      <c r="Q246" s="272">
        <f>IF(AND($B74="x",Q91=0),Q74,IF($C74="x",Q74,0))</f>
        <v/>
      </c>
      <c r="R246" s="272">
        <f>IF(AND($B74="x",R91=0),R74,IF($C74="x",R74,0))</f>
        <v/>
      </c>
      <c r="S246" s="272">
        <f>IF(OR($B74="x",$C74="x"),S74,0)</f>
        <v/>
      </c>
      <c r="T246" s="272">
        <f>IF(AND($B74="x",T91=0),T74,IF($C74="x",T74,0))</f>
        <v/>
      </c>
      <c r="U246" s="272">
        <f>IF(AND($B74="x",U91=0),U74,IF($C74="x",U74,0))</f>
        <v/>
      </c>
      <c r="V246" s="272">
        <f>IF(AND($B74="x",V91=0),V74,IF($C74="x",V74,0))</f>
        <v/>
      </c>
    </row>
    <row r="247" hidden="1" outlineLevel="1">
      <c r="A247" s="222" t="inlineStr">
        <is>
          <t>· Wachstumshormon (hGH)</t>
        </is>
      </c>
      <c r="G247" s="272">
        <f>IF(AND($B75="x",G91=0),G75,IF($C75="x",G75,0))</f>
        <v/>
      </c>
      <c r="H247" s="272">
        <f>IF(AND($B75="x",H91=0),H75,IF($C75="x",H75,0))</f>
        <v/>
      </c>
      <c r="I247" s="272">
        <f>IF(AND($B75="x",I91=0),I75,IF($C75="x",I75,0))</f>
        <v/>
      </c>
      <c r="J247" s="272">
        <f>IF(OR($B75="x",$C75="x"),J75,0)</f>
        <v/>
      </c>
      <c r="K247" s="272">
        <f>IF(OR($B75="x",$C75="x"),K75,0)</f>
        <v/>
      </c>
      <c r="L247" s="272">
        <f>IF(AND($B75="x",L91=0),L75,IF($C75="x",L75,0))</f>
        <v/>
      </c>
      <c r="M247" s="272">
        <f>IF(AND($B75="x",M91=0),M75,IF($C75="x",M75,0))</f>
        <v/>
      </c>
      <c r="N247" s="272">
        <f>IF(AND($B75="x",N91=0),N75,IF($C75="x",N75,0))</f>
        <v/>
      </c>
      <c r="O247" s="272">
        <f>IF(OR($B75="x",$C75="x"),O75,0)</f>
        <v/>
      </c>
      <c r="P247" s="272">
        <f>IF(AND($B75="x",P91=0),P75,IF($C75="x",P75,0))</f>
        <v/>
      </c>
      <c r="Q247" s="272">
        <f>IF(AND($B75="x",Q91=0),Q75,IF($C75="x",Q75,0))</f>
        <v/>
      </c>
      <c r="R247" s="272">
        <f>IF(AND($B75="x",R91=0),R75,IF($C75="x",R75,0))</f>
        <v/>
      </c>
      <c r="S247" s="272">
        <f>IF(AND($B75="x",S91=0),S75,IF($C75="x",S75,0))</f>
        <v/>
      </c>
      <c r="T247" s="272">
        <f>IF(OR($B75="x",$C75="x"),T75,0)</f>
        <v/>
      </c>
      <c r="U247" s="272">
        <f>IF(AND($B75="x",U91=0),U75,IF($C75="x",U75,0))</f>
        <v/>
      </c>
      <c r="V247" s="272">
        <f>IF(AND($B75="x",V91=0),V75,IF($C75="x",V75,0))</f>
        <v/>
      </c>
    </row>
    <row r="248" hidden="1" outlineLevel="1">
      <c r="A248" s="222" t="inlineStr">
        <is>
          <t>· Insulin</t>
        </is>
      </c>
      <c r="G248" s="272">
        <f>IF(AND($B76="x",G91=0),G76,IF($C76="x",G76,0))</f>
        <v/>
      </c>
      <c r="H248" s="272">
        <f>IF(AND($B76="x",H91=0),H76,IF($C76="x",H76,0))</f>
        <v/>
      </c>
      <c r="I248" s="272">
        <f>IF(AND($B76="x",I91=0),I76,IF($C76="x",I76,0))</f>
        <v/>
      </c>
      <c r="J248" s="272">
        <f>IF(AND($B76="x",J91=0),J76,IF($C76="x",J76,0))</f>
        <v/>
      </c>
      <c r="K248" s="272">
        <f>IF(AND($B76="x",K91=0),K76,IF($C76="x",K76,0))</f>
        <v/>
      </c>
      <c r="L248" s="272">
        <f>IF(AND($B76="x",L91=0),L76,IF($C76="x",L76,0))</f>
        <v/>
      </c>
      <c r="M248" s="272">
        <f>IF(AND($B76="x",M91=0),M76,IF($C76="x",M76,0))</f>
        <v/>
      </c>
      <c r="N248" s="272">
        <f>IF(AND($B76="x",N91=0),N76,IF($C76="x",N76,0))</f>
        <v/>
      </c>
      <c r="O248" s="272">
        <f>IF(AND($B76="x",O91=0),O76,IF($C76="x",O76,0))</f>
        <v/>
      </c>
      <c r="P248" s="272">
        <f>IF(AND($B76="x",P91=0),P76,IF($C76="x",P76,0))</f>
        <v/>
      </c>
      <c r="Q248" s="272">
        <f>IF(AND($B76="x",Q91=0),Q76,IF($C76="x",Q76,0))</f>
        <v/>
      </c>
      <c r="R248" s="272">
        <f>IF(AND($B76="x",R91=0),R76,IF($C76="x",R76,0))</f>
        <v/>
      </c>
      <c r="S248" s="272">
        <f>IF(AND($B76="x",S91=0),S76,IF($C76="x",S76,0))</f>
        <v/>
      </c>
      <c r="T248" s="272">
        <f>IF(OR($B76="x",$C76="x"),T76,0)</f>
        <v/>
      </c>
      <c r="U248" s="272">
        <f>IF(AND($B76="x",U91=0),U76,IF($C76="x",U76,0))</f>
        <v/>
      </c>
      <c r="V248" s="272">
        <f>IF(AND($B76="x",V91=0),V76,IF($C76="x",V76,0))</f>
        <v/>
      </c>
    </row>
    <row r="249" hidden="1" outlineLevel="1">
      <c r="A249" s="222" t="inlineStr">
        <is>
          <t>· Clenbuterol</t>
        </is>
      </c>
      <c r="G249" s="272">
        <f>IF(OR($B77="x",$C77="x"),G77,0)</f>
        <v/>
      </c>
      <c r="H249" s="272">
        <f>IF(AND($B77="x",H91=0),H77,IF($C77="x",H77,0))</f>
        <v/>
      </c>
      <c r="I249" s="272">
        <f>IF(AND($B77="x",I91=0),I77,IF($C77="x",I77,0))</f>
        <v/>
      </c>
      <c r="J249" s="272">
        <f>IF(AND($B77="x",J91=0),J77,IF($C77="x",J77,0))</f>
        <v/>
      </c>
      <c r="K249" s="272">
        <f>IF(OR($B77="x",$C77="x"),K77,0)</f>
        <v/>
      </c>
      <c r="L249" s="272">
        <f>IF(AND($B77="x",L91=0),L77,IF($C77="x",L77,0))</f>
        <v/>
      </c>
      <c r="M249" s="272">
        <f>IF(AND($B77="x",M91=0),M77,IF($C77="x",M77,0))</f>
        <v/>
      </c>
      <c r="N249" s="272">
        <f>IF(OR($B77="x",$C77="x"),N77,0)</f>
        <v/>
      </c>
      <c r="O249" s="272">
        <f>IF(OR($B77="x",$C77="x"),O77,0)</f>
        <v/>
      </c>
      <c r="P249" s="272">
        <f>IF(AND($B77="x",P91=0),P77,IF($C77="x",P77,0))</f>
        <v/>
      </c>
      <c r="Q249" s="272">
        <f>IF(OR($B77="x",$C77="x"),Q77,0)</f>
        <v/>
      </c>
      <c r="R249" s="272">
        <f>IF(AND($B77="x",R91=0),R77,IF($C77="x",R77,0))</f>
        <v/>
      </c>
      <c r="S249" s="272">
        <f>IF(AND($B77="x",S91=0),S77,IF($C77="x",S77,0))</f>
        <v/>
      </c>
      <c r="T249" s="272">
        <f>IF(AND($B77="x",T91=0),T77,IF($C77="x",T77,0))</f>
        <v/>
      </c>
      <c r="U249" s="272">
        <f>IF(AND($B77="x",U91=0),U77,IF($C77="x",U77,0))</f>
        <v/>
      </c>
      <c r="V249" s="272">
        <f>IF(AND($B77="x",V91=0),V77,IF($C77="x",V77,0))</f>
        <v/>
      </c>
    </row>
    <row r="250" hidden="1" outlineLevel="1">
      <c r="A250" s="222" t="inlineStr">
        <is>
          <t>· T3 (Liothyronin)</t>
        </is>
      </c>
      <c r="G250" s="272">
        <f>IF(AND($B78="x",G91=0),G78,IF($C78="x",G78,0))</f>
        <v/>
      </c>
      <c r="H250" s="272">
        <f>IF(AND($B78="x",H91=0),H78,IF($C78="x",H78,0))</f>
        <v/>
      </c>
      <c r="I250" s="272">
        <f>IF(AND($B78="x",I91=0),I78,IF($C78="x",I78,0))</f>
        <v/>
      </c>
      <c r="J250" s="272">
        <f>IF(AND($B78="x",J91=0),J78,IF($C78="x",J78,0))</f>
        <v/>
      </c>
      <c r="K250" s="272">
        <f>IF(OR($B78="x",$C78="x"),K78,0)</f>
        <v/>
      </c>
      <c r="L250" s="272">
        <f>IF(AND($B78="x",L91=0),L78,IF($C78="x",L78,0))</f>
        <v/>
      </c>
      <c r="M250" s="272">
        <f>IF(AND($B78="x",M91=0),M78,IF($C78="x",M78,0))</f>
        <v/>
      </c>
      <c r="N250" s="272">
        <f>IF(OR($B78="x",$C78="x"),N78,0)</f>
        <v/>
      </c>
      <c r="O250" s="272">
        <f>IF(AND($B78="x",O91=0),O78,IF($C78="x",O78,0))</f>
        <v/>
      </c>
      <c r="P250" s="272">
        <f>IF(AND($B78="x",P91=0),P78,IF($C78="x",P78,0))</f>
        <v/>
      </c>
      <c r="Q250" s="272">
        <f>IF(OR($B78="x",$C78="x"),Q78,0)</f>
        <v/>
      </c>
      <c r="R250" s="272">
        <f>IF(AND($B78="x",R91=0),R78,IF($C78="x",R78,0))</f>
        <v/>
      </c>
      <c r="S250" s="272">
        <f>IF(AND($B78="x",S91=0),S78,IF($C78="x",S78,0))</f>
        <v/>
      </c>
      <c r="T250" s="272">
        <f>IF(AND($B78="x",T91=0),T78,IF($C78="x",T78,0))</f>
        <v/>
      </c>
      <c r="U250" s="272">
        <f>IF(AND($B78="x",U91=0),U78,IF($C78="x",U78,0))</f>
        <v/>
      </c>
      <c r="V250" s="272">
        <f>IF(AND($B78="x",V91=0),V78,IF($C78="x",V78,0))</f>
        <v/>
      </c>
    </row>
    <row r="251" hidden="1" outlineLevel="1">
      <c r="A251" s="222" t="inlineStr">
        <is>
          <t>· DNP</t>
        </is>
      </c>
      <c r="G251" s="272">
        <f>IF(AND($B79="x",G91=0),G79,IF($C79="x",G79,0))</f>
        <v/>
      </c>
      <c r="H251" s="272">
        <f>IF(AND($B79="x",H91=0),H79,IF($C79="x",H79,0))</f>
        <v/>
      </c>
      <c r="I251" s="272">
        <f>IF(AND($B79="x",I91=0),I79,IF($C79="x",I79,0))</f>
        <v/>
      </c>
      <c r="J251" s="272">
        <f>IF(AND($B79="x",J91=0),J79,IF($C79="x",J79,0))</f>
        <v/>
      </c>
      <c r="K251" s="272">
        <f>IF(AND($B79="x",K91=0),K79,IF($C79="x",K79,0))</f>
        <v/>
      </c>
      <c r="L251" s="272">
        <f>IF(AND($B79="x",L91=0),L79,IF($C79="x",L79,0))</f>
        <v/>
      </c>
      <c r="M251" s="272">
        <f>IF(AND($B79="x",M91=0),M79,IF($C79="x",M79,0))</f>
        <v/>
      </c>
      <c r="N251" s="272">
        <f>IF(OR($B79="x",$C79="x"),N79,0)</f>
        <v/>
      </c>
      <c r="O251" s="272">
        <f>IF(AND($B79="x",O91=0),O79,IF($C79="x",O79,0))</f>
        <v/>
      </c>
      <c r="P251" s="272">
        <f>IF(AND($B79="x",P91=0),P79,IF($C79="x",P79,0))</f>
        <v/>
      </c>
      <c r="Q251" s="272">
        <f>IF(OR($B79="x",$C79="x"),Q79,0)</f>
        <v/>
      </c>
      <c r="R251" s="272">
        <f>IF(OR($B79="x",$C79="x"),R79,0)</f>
        <v/>
      </c>
      <c r="S251" s="272">
        <f>IF(OR($B79="x",$C79="x"),S79,0)</f>
        <v/>
      </c>
      <c r="T251" s="272">
        <f>IF(AND($B79="x",T91=0),T79,IF($C79="x",T79,0))</f>
        <v/>
      </c>
      <c r="U251" s="272">
        <f>IF(AND($B79="x",U91=0),U79,IF($C79="x",U79,0))</f>
        <v/>
      </c>
      <c r="V251" s="272">
        <f>IF(AND($B79="x",V91=0),V79,IF($C79="x",V79,0))</f>
        <v/>
      </c>
    </row>
    <row r="252" hidden="1" outlineLevel="1">
      <c r="A252" s="222" t="inlineStr">
        <is>
          <t>· Rauchen (10 Zigaretten pro Tag)</t>
        </is>
      </c>
      <c r="G252" s="272">
        <f>IF(OR($B80="x",$C80="x"),G80,0)</f>
        <v/>
      </c>
      <c r="H252" s="272">
        <f>IF(OR($B80="x",$C80="x"),H80,0)</f>
        <v/>
      </c>
      <c r="I252" s="272">
        <f>IF(OR($B80="x",$C80="x"),I80,0)</f>
        <v/>
      </c>
      <c r="J252" s="272">
        <f>IF(OR($B80="x",$C80="x"),J80,0)</f>
        <v/>
      </c>
      <c r="K252" s="272">
        <f>IF(OR($B80="x",$C80="x"),K80,0)</f>
        <v/>
      </c>
      <c r="L252" s="272">
        <f>IF(OR($B80="x",$C80="x"),L80,0)</f>
        <v/>
      </c>
      <c r="M252" s="272">
        <f>IF(OR($B80="x",$C80="x"),M80,0)</f>
        <v/>
      </c>
      <c r="N252" s="272">
        <f>IF(OR($B80="x",$C80="x"),N80,0)</f>
        <v/>
      </c>
      <c r="O252" s="272">
        <f>IF(OR($B80="x",$C80="x"),O80,0)</f>
        <v/>
      </c>
      <c r="P252" s="272">
        <f>IF(AND($B80="x",P91=0),P80,IF($C80="x",P80,0))</f>
        <v/>
      </c>
      <c r="Q252" s="272">
        <f>IF(OR($B80="x",$C80="x"),Q80,0)</f>
        <v/>
      </c>
      <c r="R252" s="272">
        <f>IF(OR($B80="x",$C80="x"),R80,0)</f>
        <v/>
      </c>
      <c r="S252" s="272">
        <f>IF(AND($B80="x",S91=0),S80,IF($C80="x",S80,0))</f>
        <v/>
      </c>
      <c r="T252" s="272">
        <f>IF(OR($B80="x",$C80="x"),T80,0)</f>
        <v/>
      </c>
      <c r="U252" s="272">
        <f>IF(AND($B80="x",U91=0),U80,IF($C80="x",U80,0))</f>
        <v/>
      </c>
      <c r="V252" s="272">
        <f>IF(AND($B80="x",V91=0),V80,IF($C80="x",V80,0))</f>
        <v/>
      </c>
    </row>
    <row r="253" hidden="1" outlineLevel="1">
      <c r="A253" s="222" t="inlineStr">
        <is>
          <t>· Alkohol (5 Bier pro Tag)</t>
        </is>
      </c>
      <c r="G253" s="272">
        <f>IF(AND($B81="x",G91=0),G81,IF($C81="x",G81,0))</f>
        <v/>
      </c>
      <c r="H253" s="272">
        <f>IF(AND($B81="x",H91=0),H81,IF($C81="x",H81,0))</f>
        <v/>
      </c>
      <c r="I253" s="272">
        <f>IF(AND($B81="x",I91=0),I81,IF($C81="x",I81,0))</f>
        <v/>
      </c>
      <c r="J253" s="272">
        <f>IF(OR($B81="x",$C81="x"),J81,0)</f>
        <v/>
      </c>
      <c r="K253" s="272">
        <f>IF(OR($B81="x",$C81="x"),K81,0)</f>
        <v/>
      </c>
      <c r="L253" s="272">
        <f>IF(OR($B81="x",$C81="x"),L81,0)</f>
        <v/>
      </c>
      <c r="M253" s="272">
        <f>IF(AND($B81="x",M91=0),M81,IF($C81="x",M81,0))</f>
        <v/>
      </c>
      <c r="N253" s="272">
        <f>IF(OR($B81="x",$C81="x"),N81,0)</f>
        <v/>
      </c>
      <c r="O253" s="272">
        <f>IF(OR($B81="x",$C81="x"),O81,0)</f>
        <v/>
      </c>
      <c r="P253" s="272">
        <f>IF(OR($B81="x",$C81="x"),P81,0)</f>
        <v/>
      </c>
      <c r="Q253" s="272">
        <f>IF(OR($B81="x",$C81="x"),Q81,0)</f>
        <v/>
      </c>
      <c r="R253" s="272">
        <f>IF(AND($B81="x",R91=0),R81,IF($C81="x",R81,0))</f>
        <v/>
      </c>
      <c r="S253" s="272">
        <f>IF(OR($B81="x",$C81="x"),S81,0)</f>
        <v/>
      </c>
      <c r="T253" s="272">
        <f>IF(OR($B81="x",$C81="x"),T81,0)</f>
        <v/>
      </c>
      <c r="U253" s="272">
        <f>IF(AND($B81="x",U91=0),U81,IF($C81="x",U81,0))</f>
        <v/>
      </c>
      <c r="V253" s="272">
        <f>IF(AND($B81="x",V91=0),V81,IF($C81="x",V81,0))</f>
        <v/>
      </c>
    </row>
    <row r="254" hidden="1" outlineLevel="1">
      <c r="A254" s="222" t="inlineStr">
        <is>
          <t xml:space="preserve">  Nutzen Statin/PCSK9</t>
        </is>
      </c>
      <c r="G254" s="267">
        <f>(1-MAX(0,MAX(G212:G213)))</f>
        <v/>
      </c>
      <c r="H254" s="267">
        <f>(1-MAX(0,MAX(H212:H213)))</f>
        <v/>
      </c>
      <c r="I254" s="267">
        <f>(1-MAX(0,MAX(I212:I213)))</f>
        <v/>
      </c>
      <c r="J254" s="267">
        <f>(1-MAX(0,MAX(J212:J213)))</f>
        <v/>
      </c>
      <c r="K254" s="267">
        <f>(1-MAX(0,MAX(K212:K213)))</f>
        <v/>
      </c>
      <c r="L254" s="267">
        <f>(1-MAX(0,MAX(L212:L213)))</f>
        <v/>
      </c>
      <c r="M254" s="267">
        <f>(1-MAX(0,MAX(M212:M213)))</f>
        <v/>
      </c>
      <c r="N254" s="267">
        <f>(1-MAX(0,MAX(N212:N213)))</f>
        <v/>
      </c>
      <c r="O254" s="267">
        <f>(1-MAX(0,MAX(O212:O213)))</f>
        <v/>
      </c>
      <c r="P254" s="267">
        <f>(1-MAX(0,MAX(P212:P213)))</f>
        <v/>
      </c>
      <c r="Q254" s="267">
        <f>(1-MAX(0,MAX(Q212:Q213)))</f>
        <v/>
      </c>
      <c r="R254" s="267">
        <f>(1-MAX(0,MAX(R212:R213)))</f>
        <v/>
      </c>
      <c r="S254" s="267">
        <f>(1-MAX(0,MAX(S212:S213)))</f>
        <v/>
      </c>
      <c r="T254" s="267">
        <f>(1-MAX(0,MAX(T212:T213)))</f>
        <v/>
      </c>
      <c r="U254" s="267">
        <f>(1-MAX(0,MAX(U212:U213)))</f>
        <v/>
      </c>
      <c r="V254" s="267">
        <f>(1-MAX(0,MAX(V212:V213)))</f>
        <v/>
      </c>
    </row>
    <row r="255" hidden="1" outlineLevel="1">
      <c r="A255" s="222" t="inlineStr">
        <is>
          <t xml:space="preserve">  Nutzen Cholesterin-Resorptionshemmer</t>
        </is>
      </c>
      <c r="G255" s="267">
        <f>(1-MAX(0,MAX(G214:G214)))</f>
        <v/>
      </c>
      <c r="H255" s="267">
        <f>(1-MAX(0,MAX(H214:H214)))</f>
        <v/>
      </c>
      <c r="I255" s="267">
        <f>(1-MAX(0,MAX(I214:I214)))</f>
        <v/>
      </c>
      <c r="J255" s="267">
        <f>(1-MAX(0,MAX(J214:J214)))</f>
        <v/>
      </c>
      <c r="K255" s="267">
        <f>(1-MAX(0,MAX(K214:K214)))</f>
        <v/>
      </c>
      <c r="L255" s="267">
        <f>(1-MAX(0,MAX(L214:L214)))</f>
        <v/>
      </c>
      <c r="M255" s="267">
        <f>(1-MAX(0,MAX(M214:M214)))</f>
        <v/>
      </c>
      <c r="N255" s="267">
        <f>(1-MAX(0,MAX(N214:N214)))</f>
        <v/>
      </c>
      <c r="O255" s="267">
        <f>(1-MAX(0,MAX(O214:O214)))</f>
        <v/>
      </c>
      <c r="P255" s="267">
        <f>(1-MAX(0,MAX(P214:P214)))</f>
        <v/>
      </c>
      <c r="Q255" s="267">
        <f>(1-MAX(0,MAX(Q214:Q214)))</f>
        <v/>
      </c>
      <c r="R255" s="267">
        <f>(1-MAX(0,MAX(R214:R214)))</f>
        <v/>
      </c>
      <c r="S255" s="267">
        <f>(1-MAX(0,MAX(S214:S214)))</f>
        <v/>
      </c>
      <c r="T255" s="267">
        <f>(1-MAX(0,MAX(T214:T214)))</f>
        <v/>
      </c>
      <c r="U255" s="267">
        <f>(1-MAX(0,MAX(U214:U214)))</f>
        <v/>
      </c>
      <c r="V255" s="267">
        <f>(1-MAX(0,MAX(V214:V214)))</f>
        <v/>
      </c>
    </row>
    <row r="256" hidden="1" outlineLevel="1">
      <c r="A256" s="222" t="inlineStr">
        <is>
          <t xml:space="preserve">  Nutzen ACL-Hemmer</t>
        </is>
      </c>
      <c r="G256" s="267">
        <f>(1-MAX(0,MAX(G215:G215)))</f>
        <v/>
      </c>
      <c r="H256" s="267">
        <f>(1-MAX(0,MAX(H215:H215)))</f>
        <v/>
      </c>
      <c r="I256" s="267">
        <f>(1-MAX(0,MAX(I215:I215)))</f>
        <v/>
      </c>
      <c r="J256" s="267">
        <f>(1-MAX(0,MAX(J215:J215)))</f>
        <v/>
      </c>
      <c r="K256" s="267">
        <f>(1-MAX(0,MAX(K215:K215)))</f>
        <v/>
      </c>
      <c r="L256" s="267">
        <f>(1-MAX(0,MAX(L215:L215)))</f>
        <v/>
      </c>
      <c r="M256" s="267">
        <f>(1-MAX(0,MAX(M215:M215)))</f>
        <v/>
      </c>
      <c r="N256" s="267">
        <f>(1-MAX(0,MAX(N215:N215)))</f>
        <v/>
      </c>
      <c r="O256" s="267">
        <f>(1-MAX(0,MAX(O215:O215)))</f>
        <v/>
      </c>
      <c r="P256" s="267">
        <f>(1-MAX(0,MAX(P215:P215)))</f>
        <v/>
      </c>
      <c r="Q256" s="267">
        <f>(1-MAX(0,MAX(Q215:Q215)))</f>
        <v/>
      </c>
      <c r="R256" s="267">
        <f>(1-MAX(0,MAX(R215:R215)))</f>
        <v/>
      </c>
      <c r="S256" s="267">
        <f>(1-MAX(0,MAX(S215:S215)))</f>
        <v/>
      </c>
      <c r="T256" s="267">
        <f>(1-MAX(0,MAX(T215:T215)))</f>
        <v/>
      </c>
      <c r="U256" s="267">
        <f>(1-MAX(0,MAX(U215:U215)))</f>
        <v/>
      </c>
      <c r="V256" s="267">
        <f>(1-MAX(0,MAX(V215:V215)))</f>
        <v/>
      </c>
    </row>
    <row r="257" hidden="1" outlineLevel="1">
      <c r="A257" s="222" t="inlineStr">
        <is>
          <t xml:space="preserve">  Nutzen RAAS-Blocker</t>
        </is>
      </c>
      <c r="G257" s="267">
        <f>(1-MAX(0,MAX(G216:G217)))</f>
        <v/>
      </c>
      <c r="H257" s="267">
        <f>(1-MAX(0,MAX(H216:H217)))</f>
        <v/>
      </c>
      <c r="I257" s="267">
        <f>(1-MAX(0,MAX(I216:I217)))</f>
        <v/>
      </c>
      <c r="J257" s="267">
        <f>(1-MAX(0,MAX(J216:J217)))</f>
        <v/>
      </c>
      <c r="K257" s="267">
        <f>(1-MAX(0,MAX(K216:K217)))</f>
        <v/>
      </c>
      <c r="L257" s="267">
        <f>(1-MAX(0,MAX(L216:L217)))</f>
        <v/>
      </c>
      <c r="M257" s="267">
        <f>(1-MAX(0,MAX(M216:M217)))</f>
        <v/>
      </c>
      <c r="N257" s="267">
        <f>(1-MAX(0,MAX(N216:N217)))</f>
        <v/>
      </c>
      <c r="O257" s="267">
        <f>(1-MAX(0,MAX(O216:O217)))</f>
        <v/>
      </c>
      <c r="P257" s="267">
        <f>(1-MAX(0,MAX(P216:P217)))</f>
        <v/>
      </c>
      <c r="Q257" s="267">
        <f>(1-MAX(0,MAX(Q216:Q217)))</f>
        <v/>
      </c>
      <c r="R257" s="267">
        <f>(1-MAX(0,MAX(R216:R217)))</f>
        <v/>
      </c>
      <c r="S257" s="267">
        <f>(1-MAX(0,MAX(S216:S217)))</f>
        <v/>
      </c>
      <c r="T257" s="267">
        <f>(1-MAX(0,MAX(T216:T217)))</f>
        <v/>
      </c>
      <c r="U257" s="267">
        <f>(1-MAX(0,MAX(U216:U217)))</f>
        <v/>
      </c>
      <c r="V257" s="267">
        <f>(1-MAX(0,MAX(V216:V217)))</f>
        <v/>
      </c>
    </row>
    <row r="258" hidden="1" outlineLevel="1">
      <c r="A258" s="222" t="inlineStr">
        <is>
          <t xml:space="preserve">  Nutzen Calciumantagonist</t>
        </is>
      </c>
      <c r="G258" s="267">
        <f>(1-MAX(0,MAX(G218:G218)))</f>
        <v/>
      </c>
      <c r="H258" s="267">
        <f>(1-MAX(0,MAX(H218:H218)))</f>
        <v/>
      </c>
      <c r="I258" s="267">
        <f>(1-MAX(0,MAX(I218:I218)))</f>
        <v/>
      </c>
      <c r="J258" s="267">
        <f>(1-MAX(0,MAX(J218:J218)))</f>
        <v/>
      </c>
      <c r="K258" s="267">
        <f>(1-MAX(0,MAX(K218:K218)))</f>
        <v/>
      </c>
      <c r="L258" s="267">
        <f>(1-MAX(0,MAX(L218:L218)))</f>
        <v/>
      </c>
      <c r="M258" s="267">
        <f>(1-MAX(0,MAX(M218:M218)))</f>
        <v/>
      </c>
      <c r="N258" s="267">
        <f>(1-MAX(0,MAX(N218:N218)))</f>
        <v/>
      </c>
      <c r="O258" s="267">
        <f>(1-MAX(0,MAX(O218:O218)))</f>
        <v/>
      </c>
      <c r="P258" s="267">
        <f>(1-MAX(0,MAX(P218:P218)))</f>
        <v/>
      </c>
      <c r="Q258" s="267">
        <f>(1-MAX(0,MAX(Q218:Q218)))</f>
        <v/>
      </c>
      <c r="R258" s="267">
        <f>(1-MAX(0,MAX(R218:R218)))</f>
        <v/>
      </c>
      <c r="S258" s="267">
        <f>(1-MAX(0,MAX(S218:S218)))</f>
        <v/>
      </c>
      <c r="T258" s="267">
        <f>(1-MAX(0,MAX(T218:T218)))</f>
        <v/>
      </c>
      <c r="U258" s="267">
        <f>(1-MAX(0,MAX(U218:U218)))</f>
        <v/>
      </c>
      <c r="V258" s="267">
        <f>(1-MAX(0,MAX(V218:V218)))</f>
        <v/>
      </c>
    </row>
    <row r="259" hidden="1" outlineLevel="1">
      <c r="A259" s="222" t="inlineStr">
        <is>
          <t xml:space="preserve">  Nutzen Betablocker</t>
        </is>
      </c>
      <c r="G259" s="267">
        <f>(1-MAX(0,MAX(G219:G219)))</f>
        <v/>
      </c>
      <c r="H259" s="267">
        <f>(1-MAX(0,MAX(H219:H219)))</f>
        <v/>
      </c>
      <c r="I259" s="267">
        <f>(1-MAX(0,MAX(I219:I219)))</f>
        <v/>
      </c>
      <c r="J259" s="267">
        <f>(1-MAX(0,MAX(J219:J219)))</f>
        <v/>
      </c>
      <c r="K259" s="267">
        <f>(1-MAX(0,MAX(K219:K219)))</f>
        <v/>
      </c>
      <c r="L259" s="267">
        <f>(1-MAX(0,MAX(L219:L219)))</f>
        <v/>
      </c>
      <c r="M259" s="267">
        <f>(1-MAX(0,MAX(M219:M219)))</f>
        <v/>
      </c>
      <c r="N259" s="267">
        <f>(1-MAX(0,MAX(N219:N219)))</f>
        <v/>
      </c>
      <c r="O259" s="267">
        <f>(1-MAX(0,MAX(O219:O219)))</f>
        <v/>
      </c>
      <c r="P259" s="267">
        <f>(1-MAX(0,MAX(P219:P219)))</f>
        <v/>
      </c>
      <c r="Q259" s="267">
        <f>(1-MAX(0,MAX(Q219:Q219)))</f>
        <v/>
      </c>
      <c r="R259" s="267">
        <f>(1-MAX(0,MAX(R219:R219)))</f>
        <v/>
      </c>
      <c r="S259" s="267">
        <f>(1-MAX(0,MAX(S219:S219)))</f>
        <v/>
      </c>
      <c r="T259" s="267">
        <f>(1-MAX(0,MAX(T219:T219)))</f>
        <v/>
      </c>
      <c r="U259" s="267">
        <f>(1-MAX(0,MAX(U219:U219)))</f>
        <v/>
      </c>
      <c r="V259" s="267">
        <f>(1-MAX(0,MAX(V219:V219)))</f>
        <v/>
      </c>
    </row>
    <row r="260" hidden="1" outlineLevel="1">
      <c r="A260" s="222" t="inlineStr">
        <is>
          <t xml:space="preserve">  Nutzen PDE5-Hemmer</t>
        </is>
      </c>
      <c r="G260" s="267">
        <f>(1-MAX(0,MAX(G220:G220)))</f>
        <v/>
      </c>
      <c r="H260" s="267">
        <f>(1-MAX(0,MAX(H220:H220)))</f>
        <v/>
      </c>
      <c r="I260" s="267">
        <f>(1-MAX(0,MAX(I220:I220)))</f>
        <v/>
      </c>
      <c r="J260" s="267">
        <f>(1-MAX(0,MAX(J220:J220)))</f>
        <v/>
      </c>
      <c r="K260" s="267">
        <f>(1-MAX(0,MAX(K220:K220)))</f>
        <v/>
      </c>
      <c r="L260" s="267">
        <f>(1-MAX(0,MAX(L220:L220)))</f>
        <v/>
      </c>
      <c r="M260" s="267">
        <f>(1-MAX(0,MAX(M220:M220)))</f>
        <v/>
      </c>
      <c r="N260" s="267">
        <f>(1-MAX(0,MAX(N220:N220)))</f>
        <v/>
      </c>
      <c r="O260" s="267">
        <f>(1-MAX(0,MAX(O220:O220)))</f>
        <v/>
      </c>
      <c r="P260" s="267">
        <f>(1-MAX(0,MAX(P220:P220)))</f>
        <v/>
      </c>
      <c r="Q260" s="267">
        <f>(1-MAX(0,MAX(Q220:Q220)))</f>
        <v/>
      </c>
      <c r="R260" s="267">
        <f>(1-MAX(0,MAX(R220:R220)))</f>
        <v/>
      </c>
      <c r="S260" s="267">
        <f>(1-MAX(0,MAX(S220:S220)))</f>
        <v/>
      </c>
      <c r="T260" s="267">
        <f>(1-MAX(0,MAX(T220:T220)))</f>
        <v/>
      </c>
      <c r="U260" s="267">
        <f>(1-MAX(0,MAX(U220:U220)))</f>
        <v/>
      </c>
      <c r="V260" s="267">
        <f>(1-MAX(0,MAX(V220:V220)))</f>
        <v/>
      </c>
    </row>
    <row r="261" hidden="1" outlineLevel="1">
      <c r="A261" s="222" t="inlineStr">
        <is>
          <t xml:space="preserve">  Nutzen Aderlass</t>
        </is>
      </c>
      <c r="G261" s="267">
        <f>(1-MAX(0,MAX(G221:G221)))</f>
        <v/>
      </c>
      <c r="H261" s="267">
        <f>(1-MAX(0,MAX(H221:H221)))</f>
        <v/>
      </c>
      <c r="I261" s="267">
        <f>(1-MAX(0,MAX(I221:I221)))</f>
        <v/>
      </c>
      <c r="J261" s="267">
        <f>(1-MAX(0,MAX(J221:J221)))</f>
        <v/>
      </c>
      <c r="K261" s="267">
        <f>(1-MAX(0,MAX(K221:K221)))</f>
        <v/>
      </c>
      <c r="L261" s="267">
        <f>(1-MAX(0,MAX(L221:L221)))</f>
        <v/>
      </c>
      <c r="M261" s="267">
        <f>(1-MAX(0,MAX(M221:M221)))</f>
        <v/>
      </c>
      <c r="N261" s="267">
        <f>(1-MAX(0,MAX(N221:N221)))</f>
        <v/>
      </c>
      <c r="O261" s="267">
        <f>(1-MAX(0,MAX(O221:O221)))</f>
        <v/>
      </c>
      <c r="P261" s="267">
        <f>(1-MAX(0,MAX(P221:P221)))</f>
        <v/>
      </c>
      <c r="Q261" s="267">
        <f>(1-MAX(0,MAX(Q221:Q221)))</f>
        <v/>
      </c>
      <c r="R261" s="267">
        <f>(1-MAX(0,MAX(R221:R221)))</f>
        <v/>
      </c>
      <c r="S261" s="267">
        <f>(1-MAX(0,MAX(S221:S221)))</f>
        <v/>
      </c>
      <c r="T261" s="267">
        <f>(1-MAX(0,MAX(T221:T221)))</f>
        <v/>
      </c>
      <c r="U261" s="267">
        <f>(1-MAX(0,MAX(U221:U221)))</f>
        <v/>
      </c>
      <c r="V261" s="267">
        <f>(1-MAX(0,MAX(V221:V221)))</f>
        <v/>
      </c>
    </row>
    <row r="262" hidden="1" outlineLevel="1">
      <c r="A262" s="222" t="inlineStr">
        <is>
          <t xml:space="preserve">  Nutzen SGLT2</t>
        </is>
      </c>
      <c r="G262" s="267">
        <f>(1-MAX(0,MAX(G222:G222)))</f>
        <v/>
      </c>
      <c r="H262" s="267">
        <f>(1-MAX(0,MAX(H222:H222)))</f>
        <v/>
      </c>
      <c r="I262" s="267">
        <f>(1-MAX(0,MAX(I222:I222)))</f>
        <v/>
      </c>
      <c r="J262" s="267">
        <f>(1-MAX(0,MAX(J222:J222)))</f>
        <v/>
      </c>
      <c r="K262" s="267">
        <f>(1-MAX(0,MAX(K222:K222)))</f>
        <v/>
      </c>
      <c r="L262" s="267">
        <f>(1-MAX(0,MAX(L222:L222)))</f>
        <v/>
      </c>
      <c r="M262" s="267">
        <f>(1-MAX(0,MAX(M222:M222)))</f>
        <v/>
      </c>
      <c r="N262" s="267">
        <f>(1-MAX(0,MAX(N222:N222)))</f>
        <v/>
      </c>
      <c r="O262" s="267">
        <f>(1-MAX(0,MAX(O222:O222)))</f>
        <v/>
      </c>
      <c r="P262" s="267">
        <f>(1-MAX(0,MAX(P222:P222)))</f>
        <v/>
      </c>
      <c r="Q262" s="267">
        <f>(1-MAX(0,MAX(Q222:Q222)))</f>
        <v/>
      </c>
      <c r="R262" s="267">
        <f>(1-MAX(0,MAX(R222:R222)))</f>
        <v/>
      </c>
      <c r="S262" s="267">
        <f>(1-MAX(0,MAX(S222:S222)))</f>
        <v/>
      </c>
      <c r="T262" s="267">
        <f>(1-MAX(0,MAX(T222:T222)))</f>
        <v/>
      </c>
      <c r="U262" s="267">
        <f>(1-MAX(0,MAX(U222:U222)))</f>
        <v/>
      </c>
      <c r="V262" s="267">
        <f>(1-MAX(0,MAX(V222:V222)))</f>
        <v/>
      </c>
    </row>
    <row r="263" hidden="1" outlineLevel="1">
      <c r="A263" s="222" t="inlineStr">
        <is>
          <t xml:space="preserve">  Nutzen Inkretin</t>
        </is>
      </c>
      <c r="G263" s="267">
        <f>(1-MAX(0,MAX(G223:G223)))</f>
        <v/>
      </c>
      <c r="H263" s="267">
        <f>(1-MAX(0,MAX(H223:H223)))</f>
        <v/>
      </c>
      <c r="I263" s="267">
        <f>(1-MAX(0,MAX(I223:I223)))</f>
        <v/>
      </c>
      <c r="J263" s="267">
        <f>(1-MAX(0,MAX(J223:J223)))</f>
        <v/>
      </c>
      <c r="K263" s="267">
        <f>(1-MAX(0,MAX(K223:K223)))</f>
        <v/>
      </c>
      <c r="L263" s="267">
        <f>(1-MAX(0,MAX(L223:L223)))</f>
        <v/>
      </c>
      <c r="M263" s="267">
        <f>(1-MAX(0,MAX(M223:M223)))</f>
        <v/>
      </c>
      <c r="N263" s="267">
        <f>(1-MAX(0,MAX(N223:N223)))</f>
        <v/>
      </c>
      <c r="O263" s="267">
        <f>(1-MAX(0,MAX(O223:O223)))</f>
        <v/>
      </c>
      <c r="P263" s="267">
        <f>(1-MAX(0,MAX(P223:P223)))</f>
        <v/>
      </c>
      <c r="Q263" s="267">
        <f>(1-MAX(0,MAX(Q223:Q223)))</f>
        <v/>
      </c>
      <c r="R263" s="267">
        <f>(1-MAX(0,MAX(R223:R223)))</f>
        <v/>
      </c>
      <c r="S263" s="267">
        <f>(1-MAX(0,MAX(S223:S223)))</f>
        <v/>
      </c>
      <c r="T263" s="267">
        <f>(1-MAX(0,MAX(T223:T223)))</f>
        <v/>
      </c>
      <c r="U263" s="267">
        <f>(1-MAX(0,MAX(U223:U223)))</f>
        <v/>
      </c>
      <c r="V263" s="267">
        <f>(1-MAX(0,MAX(V223:V223)))</f>
        <v/>
      </c>
    </row>
    <row r="264" hidden="1" outlineLevel="1">
      <c r="A264" s="222" t="inlineStr">
        <is>
          <t xml:space="preserve">  Nutzen Insulinsensitizer</t>
        </is>
      </c>
      <c r="G264" s="267">
        <f>(1-MAX(0,MAX(G224:G224)))</f>
        <v/>
      </c>
      <c r="H264" s="267">
        <f>(1-MAX(0,MAX(H224:H224)))</f>
        <v/>
      </c>
      <c r="I264" s="267">
        <f>(1-MAX(0,MAX(I224:I224)))</f>
        <v/>
      </c>
      <c r="J264" s="267">
        <f>(1-MAX(0,MAX(J224:J224)))</f>
        <v/>
      </c>
      <c r="K264" s="267">
        <f>(1-MAX(0,MAX(K224:K224)))</f>
        <v/>
      </c>
      <c r="L264" s="267">
        <f>(1-MAX(0,MAX(L224:L224)))</f>
        <v/>
      </c>
      <c r="M264" s="267">
        <f>(1-MAX(0,MAX(M224:M224)))</f>
        <v/>
      </c>
      <c r="N264" s="267">
        <f>(1-MAX(0,MAX(N224:N224)))</f>
        <v/>
      </c>
      <c r="O264" s="267">
        <f>(1-MAX(0,MAX(O224:O224)))</f>
        <v/>
      </c>
      <c r="P264" s="267">
        <f>(1-MAX(0,MAX(P224:P224)))</f>
        <v/>
      </c>
      <c r="Q264" s="267">
        <f>(1-MAX(0,MAX(Q224:Q224)))</f>
        <v/>
      </c>
      <c r="R264" s="267">
        <f>(1-MAX(0,MAX(R224:R224)))</f>
        <v/>
      </c>
      <c r="S264" s="267">
        <f>(1-MAX(0,MAX(S224:S224)))</f>
        <v/>
      </c>
      <c r="T264" s="267">
        <f>(1-MAX(0,MAX(T224:T224)))</f>
        <v/>
      </c>
      <c r="U264" s="267">
        <f>(1-MAX(0,MAX(U224:U224)))</f>
        <v/>
      </c>
      <c r="V264" s="267">
        <f>(1-MAX(0,MAX(V224:V224)))</f>
        <v/>
      </c>
    </row>
    <row r="265" hidden="1" outlineLevel="1">
      <c r="A265" s="222" t="inlineStr">
        <is>
          <t xml:space="preserve">  Nutzen Omega-3</t>
        </is>
      </c>
      <c r="G265" s="267">
        <f>(1-MAX(0,MAX(G225:G225)))</f>
        <v/>
      </c>
      <c r="H265" s="267">
        <f>(1-MAX(0,MAX(H225:H225)))</f>
        <v/>
      </c>
      <c r="I265" s="267">
        <f>(1-MAX(0,MAX(I225:I225)))</f>
        <v/>
      </c>
      <c r="J265" s="267">
        <f>(1-MAX(0,MAX(J225:J225)))</f>
        <v/>
      </c>
      <c r="K265" s="267">
        <f>(1-MAX(0,MAX(K225:K225)))</f>
        <v/>
      </c>
      <c r="L265" s="267">
        <f>(1-MAX(0,MAX(L225:L225)))</f>
        <v/>
      </c>
      <c r="M265" s="267">
        <f>(1-MAX(0,MAX(M225:M225)))</f>
        <v/>
      </c>
      <c r="N265" s="267">
        <f>(1-MAX(0,MAX(N225:N225)))</f>
        <v/>
      </c>
      <c r="O265" s="267">
        <f>(1-MAX(0,MAX(O225:O225)))</f>
        <v/>
      </c>
      <c r="P265" s="267">
        <f>(1-MAX(0,MAX(P225:P225)))</f>
        <v/>
      </c>
      <c r="Q265" s="267">
        <f>(1-MAX(0,MAX(Q225:Q225)))</f>
        <v/>
      </c>
      <c r="R265" s="267">
        <f>(1-MAX(0,MAX(R225:R225)))</f>
        <v/>
      </c>
      <c r="S265" s="267">
        <f>(1-MAX(0,MAX(S225:S225)))</f>
        <v/>
      </c>
      <c r="T265" s="267">
        <f>(1-MAX(0,MAX(T225:T225)))</f>
        <v/>
      </c>
      <c r="U265" s="267">
        <f>(1-MAX(0,MAX(U225:U225)))</f>
        <v/>
      </c>
      <c r="V265" s="267">
        <f>(1-MAX(0,MAX(V225:V225)))</f>
        <v/>
      </c>
    </row>
    <row r="266" hidden="1" outlineLevel="1">
      <c r="A266" s="222" t="inlineStr">
        <is>
          <t xml:space="preserve">  Nutzen OTC-Stack</t>
        </is>
      </c>
      <c r="G266" s="267">
        <f>(1-MAX(0,MAX(G226:G226)))</f>
        <v/>
      </c>
      <c r="H266" s="267">
        <f>(1-MAX(0,MAX(H226:H226)))</f>
        <v/>
      </c>
      <c r="I266" s="267">
        <f>(1-MAX(0,MAX(I226:I226)))</f>
        <v/>
      </c>
      <c r="J266" s="267">
        <f>(1-MAX(0,MAX(J226:J226)))</f>
        <v/>
      </c>
      <c r="K266" s="267">
        <f>(1-MAX(0,MAX(K226:K226)))</f>
        <v/>
      </c>
      <c r="L266" s="267">
        <f>(1-MAX(0,MAX(L226:L226)))</f>
        <v/>
      </c>
      <c r="M266" s="267">
        <f>(1-MAX(0,MAX(M226:M226)))</f>
        <v/>
      </c>
      <c r="N266" s="267">
        <f>(1-MAX(0,MAX(N226:N226)))</f>
        <v/>
      </c>
      <c r="O266" s="267">
        <f>(1-MAX(0,MAX(O226:O226)))</f>
        <v/>
      </c>
      <c r="P266" s="267">
        <f>(1-MAX(0,MAX(P226:P226)))</f>
        <v/>
      </c>
      <c r="Q266" s="267">
        <f>(1-MAX(0,MAX(Q226:Q226)))</f>
        <v/>
      </c>
      <c r="R266" s="267">
        <f>(1-MAX(0,MAX(R226:R226)))</f>
        <v/>
      </c>
      <c r="S266" s="267">
        <f>(1-MAX(0,MAX(S226:S226)))</f>
        <v/>
      </c>
      <c r="T266" s="267">
        <f>(1-MAX(0,MAX(T226:T226)))</f>
        <v/>
      </c>
      <c r="U266" s="267">
        <f>(1-MAX(0,MAX(U226:U226)))</f>
        <v/>
      </c>
      <c r="V266" s="267">
        <f>(1-MAX(0,MAX(V226:V226)))</f>
        <v/>
      </c>
    </row>
    <row r="267" hidden="1" outlineLevel="1">
      <c r="A267" s="222" t="inlineStr">
        <is>
          <t xml:space="preserve">  Nutzen Leber-Supplement</t>
        </is>
      </c>
      <c r="G267" s="267">
        <f>(1-MAX(0,MAX(G227:G227)))</f>
        <v/>
      </c>
      <c r="H267" s="267">
        <f>(1-MAX(0,MAX(H227:H227)))</f>
        <v/>
      </c>
      <c r="I267" s="267">
        <f>(1-MAX(0,MAX(I227:I227)))</f>
        <v/>
      </c>
      <c r="J267" s="267">
        <f>(1-MAX(0,MAX(J227:J227)))</f>
        <v/>
      </c>
      <c r="K267" s="267">
        <f>(1-MAX(0,MAX(K227:K227)))</f>
        <v/>
      </c>
      <c r="L267" s="267">
        <f>(1-MAX(0,MAX(L227:L227)))</f>
        <v/>
      </c>
      <c r="M267" s="267">
        <f>(1-MAX(0,MAX(M227:M227)))</f>
        <v/>
      </c>
      <c r="N267" s="267">
        <f>(1-MAX(0,MAX(N227:N227)))</f>
        <v/>
      </c>
      <c r="O267" s="267">
        <f>(1-MAX(0,MAX(O227:O227)))</f>
        <v/>
      </c>
      <c r="P267" s="267">
        <f>(1-MAX(0,MAX(P227:P227)))</f>
        <v/>
      </c>
      <c r="Q267" s="267">
        <f>(1-MAX(0,MAX(Q227:Q227)))</f>
        <v/>
      </c>
      <c r="R267" s="267">
        <f>(1-MAX(0,MAX(R227:R227)))</f>
        <v/>
      </c>
      <c r="S267" s="267">
        <f>(1-MAX(0,MAX(S227:S227)))</f>
        <v/>
      </c>
      <c r="T267" s="267">
        <f>(1-MAX(0,MAX(T227:T227)))</f>
        <v/>
      </c>
      <c r="U267" s="267">
        <f>(1-MAX(0,MAX(U227:U227)))</f>
        <v/>
      </c>
      <c r="V267" s="267">
        <f>(1-MAX(0,MAX(V227:V227)))</f>
        <v/>
      </c>
    </row>
    <row r="268" hidden="1" outlineLevel="1">
      <c r="A268" s="222" t="inlineStr">
        <is>
          <t xml:space="preserve">  Nutzen Lifestyle</t>
        </is>
      </c>
      <c r="G268" s="267">
        <f>(1-MAX(0,MAX(G228:G228)))</f>
        <v/>
      </c>
      <c r="H268" s="267">
        <f>(1-MAX(0,MAX(H228:H228)))</f>
        <v/>
      </c>
      <c r="I268" s="267">
        <f>(1-MAX(0,MAX(I228:I228)))</f>
        <v/>
      </c>
      <c r="J268" s="267">
        <f>(1-MAX(0,MAX(J228:J228)))</f>
        <v/>
      </c>
      <c r="K268" s="267">
        <f>(1-MAX(0,MAX(K228:K228)))</f>
        <v/>
      </c>
      <c r="L268" s="267">
        <f>(1-MAX(0,MAX(L228:L228)))</f>
        <v/>
      </c>
      <c r="M268" s="267">
        <f>(1-MAX(0,MAX(M228:M228)))</f>
        <v/>
      </c>
      <c r="N268" s="267">
        <f>(1-MAX(0,MAX(N228:N228)))</f>
        <v/>
      </c>
      <c r="O268" s="267">
        <f>(1-MAX(0,MAX(O228:O228)))</f>
        <v/>
      </c>
      <c r="P268" s="267">
        <f>(1-MAX(0,MAX(P228:P228)))</f>
        <v/>
      </c>
      <c r="Q268" s="267">
        <f>(1-MAX(0,MAX(Q228:Q228)))</f>
        <v/>
      </c>
      <c r="R268" s="267">
        <f>(1-MAX(0,MAX(R228:R228)))</f>
        <v/>
      </c>
      <c r="S268" s="267">
        <f>(1-MAX(0,MAX(S228:S228)))</f>
        <v/>
      </c>
      <c r="T268" s="267">
        <f>(1-MAX(0,MAX(T228:T228)))</f>
        <v/>
      </c>
      <c r="U268" s="267">
        <f>(1-MAX(0,MAX(U228:U228)))</f>
        <v/>
      </c>
      <c r="V268" s="267">
        <f>(1-MAX(0,MAX(V228:V228)))</f>
        <v/>
      </c>
    </row>
    <row r="269" hidden="1" outlineLevel="1">
      <c r="A269" s="222" t="inlineStr">
        <is>
          <t xml:space="preserve">  Nutzen Ernaehrung</t>
        </is>
      </c>
      <c r="G269" s="267">
        <f>(1-MAX(0,MAX(G229:G229)))</f>
        <v/>
      </c>
      <c r="H269" s="267">
        <f>(1-MAX(0,MAX(H229:H229)))</f>
        <v/>
      </c>
      <c r="I269" s="267">
        <f>(1-MAX(0,MAX(I229:I229)))</f>
        <v/>
      </c>
      <c r="J269" s="267">
        <f>(1-MAX(0,MAX(J229:J229)))</f>
        <v/>
      </c>
      <c r="K269" s="267">
        <f>(1-MAX(0,MAX(K229:K229)))</f>
        <v/>
      </c>
      <c r="L269" s="267">
        <f>(1-MAX(0,MAX(L229:L229)))</f>
        <v/>
      </c>
      <c r="M269" s="267">
        <f>(1-MAX(0,MAX(M229:M229)))</f>
        <v/>
      </c>
      <c r="N269" s="267">
        <f>(1-MAX(0,MAX(N229:N229)))</f>
        <v/>
      </c>
      <c r="O269" s="267">
        <f>(1-MAX(0,MAX(O229:O229)))</f>
        <v/>
      </c>
      <c r="P269" s="267">
        <f>(1-MAX(0,MAX(P229:P229)))</f>
        <v/>
      </c>
      <c r="Q269" s="267">
        <f>(1-MAX(0,MAX(Q229:Q229)))</f>
        <v/>
      </c>
      <c r="R269" s="267">
        <f>(1-MAX(0,MAX(R229:R229)))</f>
        <v/>
      </c>
      <c r="S269" s="267">
        <f>(1-MAX(0,MAX(S229:S229)))</f>
        <v/>
      </c>
      <c r="T269" s="267">
        <f>(1-MAX(0,MAX(T229:T229)))</f>
        <v/>
      </c>
      <c r="U269" s="267">
        <f>(1-MAX(0,MAX(U229:U229)))</f>
        <v/>
      </c>
      <c r="V269" s="267">
        <f>(1-MAX(0,MAX(V229:V229)))</f>
        <v/>
      </c>
    </row>
    <row r="270" hidden="1" outlineLevel="1">
      <c r="A270" s="222" t="inlineStr">
        <is>
          <t xml:space="preserve">  Nutzen Aromatasehemmer</t>
        </is>
      </c>
      <c r="G270" s="267">
        <f>(1-MAX(0,MAX(G230:G230)))</f>
        <v/>
      </c>
      <c r="H270" s="267">
        <f>(1-MAX(0,MAX(H230:H230)))</f>
        <v/>
      </c>
      <c r="I270" s="267">
        <f>(1-MAX(0,MAX(I230:I230)))</f>
        <v/>
      </c>
      <c r="J270" s="267">
        <f>(1-MAX(0,MAX(J230:J230)))</f>
        <v/>
      </c>
      <c r="K270" s="267">
        <f>(1-MAX(0,MAX(K230:K230)))</f>
        <v/>
      </c>
      <c r="L270" s="267">
        <f>(1-MAX(0,MAX(L230:L230)))</f>
        <v/>
      </c>
      <c r="M270" s="267">
        <f>(1-MAX(0,MAX(M230:M230)))</f>
        <v/>
      </c>
      <c r="N270" s="267">
        <f>(1-MAX(0,MAX(N230:N230)))</f>
        <v/>
      </c>
      <c r="O270" s="267">
        <f>(1-MAX(0,MAX(O230:O230)))</f>
        <v/>
      </c>
      <c r="P270" s="267">
        <f>(1-MAX(0,MAX(P230:P230)))</f>
        <v/>
      </c>
      <c r="Q270" s="267">
        <f>(1-MAX(0,MAX(Q230:Q230)))</f>
        <v/>
      </c>
      <c r="R270" s="267">
        <f>(1-MAX(0,MAX(R230:R230)))</f>
        <v/>
      </c>
      <c r="S270" s="267">
        <f>(1-MAX(0,MAX(S230:S230)))</f>
        <v/>
      </c>
      <c r="T270" s="267">
        <f>(1-MAX(0,MAX(T230:T230)))</f>
        <v/>
      </c>
      <c r="U270" s="267">
        <f>(1-MAX(0,MAX(U230:U230)))</f>
        <v/>
      </c>
      <c r="V270" s="267">
        <f>(1-MAX(0,MAX(V230:V230)))</f>
        <v/>
      </c>
    </row>
    <row r="271" hidden="1" outlineLevel="1">
      <c r="A271" s="222" t="inlineStr">
        <is>
          <t xml:space="preserve">  Nutzen 5AR-Hemmer</t>
        </is>
      </c>
      <c r="G271" s="267">
        <f>(1-MAX(0,MAX(G231:G231)))</f>
        <v/>
      </c>
      <c r="H271" s="267">
        <f>(1-MAX(0,MAX(H231:H231)))</f>
        <v/>
      </c>
      <c r="I271" s="267">
        <f>(1-MAX(0,MAX(I231:I231)))</f>
        <v/>
      </c>
      <c r="J271" s="267">
        <f>(1-MAX(0,MAX(J231:J231)))</f>
        <v/>
      </c>
      <c r="K271" s="267">
        <f>(1-MAX(0,MAX(K231:K231)))</f>
        <v/>
      </c>
      <c r="L271" s="267">
        <f>(1-MAX(0,MAX(L231:L231)))</f>
        <v/>
      </c>
      <c r="M271" s="267">
        <f>(1-MAX(0,MAX(M231:M231)))</f>
        <v/>
      </c>
      <c r="N271" s="267">
        <f>(1-MAX(0,MAX(N231:N231)))</f>
        <v/>
      </c>
      <c r="O271" s="267">
        <f>(1-MAX(0,MAX(O231:O231)))</f>
        <v/>
      </c>
      <c r="P271" s="267">
        <f>(1-MAX(0,MAX(P231:P231)))</f>
        <v/>
      </c>
      <c r="Q271" s="267">
        <f>(1-MAX(0,MAX(Q231:Q231)))</f>
        <v/>
      </c>
      <c r="R271" s="267">
        <f>(1-MAX(0,MAX(R231:R231)))</f>
        <v/>
      </c>
      <c r="S271" s="267">
        <f>(1-MAX(0,MAX(S231:S231)))</f>
        <v/>
      </c>
      <c r="T271" s="267">
        <f>(1-MAX(0,MAX(T231:T231)))</f>
        <v/>
      </c>
      <c r="U271" s="267">
        <f>(1-MAX(0,MAX(U231:U231)))</f>
        <v/>
      </c>
      <c r="V271" s="267">
        <f>(1-MAX(0,MAX(V231:V231)))</f>
        <v/>
      </c>
    </row>
    <row r="272" hidden="1" outlineLevel="1">
      <c r="A272" s="222" t="inlineStr">
        <is>
          <t xml:space="preserve">  Nutzen Thrombozytenhemmer</t>
        </is>
      </c>
      <c r="G272" s="267">
        <f>(1-MAX(0,MAX(G232:G232)))</f>
        <v/>
      </c>
      <c r="H272" s="267">
        <f>(1-MAX(0,MAX(H232:H232)))</f>
        <v/>
      </c>
      <c r="I272" s="267">
        <f>(1-MAX(0,MAX(I232:I232)))</f>
        <v/>
      </c>
      <c r="J272" s="267">
        <f>(1-MAX(0,MAX(J232:J232)))</f>
        <v/>
      </c>
      <c r="K272" s="267">
        <f>(1-MAX(0,MAX(K232:K232)))</f>
        <v/>
      </c>
      <c r="L272" s="267">
        <f>(1-MAX(0,MAX(L232:L232)))</f>
        <v/>
      </c>
      <c r="M272" s="267">
        <f>(1-MAX(0,MAX(M232:M232)))</f>
        <v/>
      </c>
      <c r="N272" s="267">
        <f>(1-MAX(0,MAX(N232:N232)))</f>
        <v/>
      </c>
      <c r="O272" s="267">
        <f>(1-MAX(0,MAX(O232:O232)))</f>
        <v/>
      </c>
      <c r="P272" s="267">
        <f>(1-MAX(0,MAX(P232:P232)))</f>
        <v/>
      </c>
      <c r="Q272" s="267">
        <f>(1-MAX(0,MAX(Q232:Q232)))</f>
        <v/>
      </c>
      <c r="R272" s="267">
        <f>(1-MAX(0,MAX(R232:R232)))</f>
        <v/>
      </c>
      <c r="S272" s="267">
        <f>(1-MAX(0,MAX(S232:S232)))</f>
        <v/>
      </c>
      <c r="T272" s="267">
        <f>(1-MAX(0,MAX(T232:T232)))</f>
        <v/>
      </c>
      <c r="U272" s="267">
        <f>(1-MAX(0,MAX(U232:U232)))</f>
        <v/>
      </c>
      <c r="V272" s="267">
        <f>(1-MAX(0,MAX(V232:V232)))</f>
        <v/>
      </c>
    </row>
    <row r="273" hidden="1" outlineLevel="1">
      <c r="A273" s="222" t="inlineStr">
        <is>
          <t xml:space="preserve">  Nutzen Prolaktin</t>
        </is>
      </c>
      <c r="G273" s="267">
        <f>(1-MAX(0,MAX(G233:G233)))</f>
        <v/>
      </c>
      <c r="H273" s="267">
        <f>(1-MAX(0,MAX(H233:H233)))</f>
        <v/>
      </c>
      <c r="I273" s="267">
        <f>(1-MAX(0,MAX(I233:I233)))</f>
        <v/>
      </c>
      <c r="J273" s="267">
        <f>(1-MAX(0,MAX(J233:J233)))</f>
        <v/>
      </c>
      <c r="K273" s="267">
        <f>(1-MAX(0,MAX(K233:K233)))</f>
        <v/>
      </c>
      <c r="L273" s="267">
        <f>(1-MAX(0,MAX(L233:L233)))</f>
        <v/>
      </c>
      <c r="M273" s="267">
        <f>(1-MAX(0,MAX(M233:M233)))</f>
        <v/>
      </c>
      <c r="N273" s="267">
        <f>(1-MAX(0,MAX(N233:N233)))</f>
        <v/>
      </c>
      <c r="O273" s="267">
        <f>(1-MAX(0,MAX(O233:O233)))</f>
        <v/>
      </c>
      <c r="P273" s="267">
        <f>(1-MAX(0,MAX(P233:P233)))</f>
        <v/>
      </c>
      <c r="Q273" s="267">
        <f>(1-MAX(0,MAX(Q233:Q233)))</f>
        <v/>
      </c>
      <c r="R273" s="267">
        <f>(1-MAX(0,MAX(R233:R233)))</f>
        <v/>
      </c>
      <c r="S273" s="267">
        <f>(1-MAX(0,MAX(S233:S233)))</f>
        <v/>
      </c>
      <c r="T273" s="267">
        <f>(1-MAX(0,MAX(T233:T233)))</f>
        <v/>
      </c>
      <c r="U273" s="267">
        <f>(1-MAX(0,MAX(U233:U233)))</f>
        <v/>
      </c>
      <c r="V273" s="267">
        <f>(1-MAX(0,MAX(V233:V233)))</f>
        <v/>
      </c>
    </row>
    <row r="274" hidden="1" outlineLevel="1">
      <c r="A274" s="222" t="inlineStr">
        <is>
          <t xml:space="preserve">  Nutzen SERM</t>
        </is>
      </c>
      <c r="G274" s="267">
        <f>(1-MAX(0,MAX(G234:G234)))</f>
        <v/>
      </c>
      <c r="H274" s="267">
        <f>(1-MAX(0,MAX(H234:H234)))</f>
        <v/>
      </c>
      <c r="I274" s="267">
        <f>(1-MAX(0,MAX(I234:I234)))</f>
        <v/>
      </c>
      <c r="J274" s="267">
        <f>(1-MAX(0,MAX(J234:J234)))</f>
        <v/>
      </c>
      <c r="K274" s="267">
        <f>(1-MAX(0,MAX(K234:K234)))</f>
        <v/>
      </c>
      <c r="L274" s="267">
        <f>(1-MAX(0,MAX(L234:L234)))</f>
        <v/>
      </c>
      <c r="M274" s="267">
        <f>(1-MAX(0,MAX(M234:M234)))</f>
        <v/>
      </c>
      <c r="N274" s="267">
        <f>(1-MAX(0,MAX(N234:N234)))</f>
        <v/>
      </c>
      <c r="O274" s="267">
        <f>(1-MAX(0,MAX(O234:O234)))</f>
        <v/>
      </c>
      <c r="P274" s="267">
        <f>(1-MAX(0,MAX(P234:P234)))</f>
        <v/>
      </c>
      <c r="Q274" s="267">
        <f>(1-MAX(0,MAX(Q234:Q234)))</f>
        <v/>
      </c>
      <c r="R274" s="267">
        <f>(1-MAX(0,MAX(R234:R234)))</f>
        <v/>
      </c>
      <c r="S274" s="267">
        <f>(1-MAX(0,MAX(S234:S234)))</f>
        <v/>
      </c>
      <c r="T274" s="267">
        <f>(1-MAX(0,MAX(T234:T234)))</f>
        <v/>
      </c>
      <c r="U274" s="267">
        <f>(1-MAX(0,MAX(U234:U234)))</f>
        <v/>
      </c>
      <c r="V274" s="267">
        <f>(1-MAX(0,MAX(V234:V234)))</f>
        <v/>
      </c>
    </row>
    <row r="275" hidden="1" outlineLevel="1">
      <c r="A275" s="222" t="inlineStr">
        <is>
          <t xml:space="preserve">  Nutzen Basis</t>
        </is>
      </c>
      <c r="G275" s="267">
        <f>(1-MAX(0,MAX(G235:G235)))</f>
        <v/>
      </c>
      <c r="H275" s="267">
        <f>(1-MAX(0,MAX(H235:H235)))</f>
        <v/>
      </c>
      <c r="I275" s="267">
        <f>(1-MAX(0,MAX(I235:I235)))</f>
        <v/>
      </c>
      <c r="J275" s="267">
        <f>(1-MAX(0,MAX(J235:J235)))</f>
        <v/>
      </c>
      <c r="K275" s="267">
        <f>(1-MAX(0,MAX(K235:K235)))</f>
        <v/>
      </c>
      <c r="L275" s="267">
        <f>(1-MAX(0,MAX(L235:L235)))</f>
        <v/>
      </c>
      <c r="M275" s="267">
        <f>(1-MAX(0,MAX(M235:M235)))</f>
        <v/>
      </c>
      <c r="N275" s="267">
        <f>(1-MAX(0,MAX(N235:N235)))</f>
        <v/>
      </c>
      <c r="O275" s="267">
        <f>(1-MAX(0,MAX(O235:O235)))</f>
        <v/>
      </c>
      <c r="P275" s="267">
        <f>(1-MAX(0,MAX(P235:P235)))</f>
        <v/>
      </c>
      <c r="Q275" s="267">
        <f>(1-MAX(0,MAX(Q235:Q235)))</f>
        <v/>
      </c>
      <c r="R275" s="267">
        <f>(1-MAX(0,MAX(R235:R235)))</f>
        <v/>
      </c>
      <c r="S275" s="267">
        <f>(1-MAX(0,MAX(S235:S235)))</f>
        <v/>
      </c>
      <c r="T275" s="267">
        <f>(1-MAX(0,MAX(T235:T235)))</f>
        <v/>
      </c>
      <c r="U275" s="267">
        <f>(1-MAX(0,MAX(U235:U235)))</f>
        <v/>
      </c>
      <c r="V275" s="267">
        <f>(1-MAX(0,MAX(V235:V235)))</f>
        <v/>
      </c>
    </row>
    <row r="276" hidden="1" outlineLevel="1">
      <c r="A276" s="222" t="inlineStr">
        <is>
          <t xml:space="preserve">  Nutzen 19-Nor</t>
        </is>
      </c>
      <c r="G276" s="267">
        <f>(1-MAX(0,MAX(G236:G237)))</f>
        <v/>
      </c>
      <c r="H276" s="267">
        <f>(1-MAX(0,MAX(H236:H237)))</f>
        <v/>
      </c>
      <c r="I276" s="267">
        <f>(1-MAX(0,MAX(I236:I237)))</f>
        <v/>
      </c>
      <c r="J276" s="267">
        <f>(1-MAX(0,MAX(J236:J237)))</f>
        <v/>
      </c>
      <c r="K276" s="267">
        <f>(1-MAX(0,MAX(K236:K237)))</f>
        <v/>
      </c>
      <c r="L276" s="267">
        <f>(1-MAX(0,MAX(L236:L237)))</f>
        <v/>
      </c>
      <c r="M276" s="267">
        <f>(1-MAX(0,MAX(M236:M237)))</f>
        <v/>
      </c>
      <c r="N276" s="267">
        <f>(1-MAX(0,MAX(N236:N237)))</f>
        <v/>
      </c>
      <c r="O276" s="267">
        <f>(1-MAX(0,MAX(O236:O237)))</f>
        <v/>
      </c>
      <c r="P276" s="267">
        <f>(1-MAX(0,MAX(P236:P237)))</f>
        <v/>
      </c>
      <c r="Q276" s="267">
        <f>(1-MAX(0,MAX(Q236:Q237)))</f>
        <v/>
      </c>
      <c r="R276" s="267">
        <f>(1-MAX(0,MAX(R236:R237)))</f>
        <v/>
      </c>
      <c r="S276" s="267">
        <f>(1-MAX(0,MAX(S236:S237)))</f>
        <v/>
      </c>
      <c r="T276" s="267">
        <f>(1-MAX(0,MAX(T236:T237)))</f>
        <v/>
      </c>
      <c r="U276" s="267">
        <f>(1-MAX(0,MAX(U236:U237)))</f>
        <v/>
      </c>
      <c r="V276" s="267">
        <f>(1-MAX(0,MAX(V236:V237)))</f>
        <v/>
      </c>
    </row>
    <row r="277" hidden="1" outlineLevel="1">
      <c r="A277" s="222" t="inlineStr">
        <is>
          <t xml:space="preserve">  Nutzen Sonstige AAS</t>
        </is>
      </c>
      <c r="G277" s="267">
        <f>(1-MAX(0,MAX(G238:G238)))</f>
        <v/>
      </c>
      <c r="H277" s="267">
        <f>(1-MAX(0,MAX(H238:H238)))</f>
        <v/>
      </c>
      <c r="I277" s="267">
        <f>(1-MAX(0,MAX(I238:I238)))</f>
        <v/>
      </c>
      <c r="J277" s="267">
        <f>(1-MAX(0,MAX(J238:J238)))</f>
        <v/>
      </c>
      <c r="K277" s="267">
        <f>(1-MAX(0,MAX(K238:K238)))</f>
        <v/>
      </c>
      <c r="L277" s="267">
        <f>(1-MAX(0,MAX(L238:L238)))</f>
        <v/>
      </c>
      <c r="M277" s="267">
        <f>(1-MAX(0,MAX(M238:M238)))</f>
        <v/>
      </c>
      <c r="N277" s="267">
        <f>(1-MAX(0,MAX(N238:N238)))</f>
        <v/>
      </c>
      <c r="O277" s="267">
        <f>(1-MAX(0,MAX(O238:O238)))</f>
        <v/>
      </c>
      <c r="P277" s="267">
        <f>(1-MAX(0,MAX(P238:P238)))</f>
        <v/>
      </c>
      <c r="Q277" s="267">
        <f>(1-MAX(0,MAX(Q238:Q238)))</f>
        <v/>
      </c>
      <c r="R277" s="267">
        <f>(1-MAX(0,MAX(R238:R238)))</f>
        <v/>
      </c>
      <c r="S277" s="267">
        <f>(1-MAX(0,MAX(S238:S238)))</f>
        <v/>
      </c>
      <c r="T277" s="267">
        <f>(1-MAX(0,MAX(T238:T238)))</f>
        <v/>
      </c>
      <c r="U277" s="267">
        <f>(1-MAX(0,MAX(U238:U238)))</f>
        <v/>
      </c>
      <c r="V277" s="267">
        <f>(1-MAX(0,MAX(V238:V238)))</f>
        <v/>
      </c>
    </row>
    <row r="278" hidden="1" outlineLevel="1">
      <c r="A278" s="222" t="inlineStr">
        <is>
          <t xml:space="preserve">  Nutzen DHT-Derivat</t>
        </is>
      </c>
      <c r="G278" s="267">
        <f>(1-MAX(0,MAX(G239:G240)))</f>
        <v/>
      </c>
      <c r="H278" s="267">
        <f>(1-MAX(0,MAX(H239:H240)))</f>
        <v/>
      </c>
      <c r="I278" s="267">
        <f>(1-MAX(0,MAX(I239:I240)))</f>
        <v/>
      </c>
      <c r="J278" s="267">
        <f>(1-MAX(0,MAX(J239:J240)))</f>
        <v/>
      </c>
      <c r="K278" s="267">
        <f>(1-MAX(0,MAX(K239:K240)))</f>
        <v/>
      </c>
      <c r="L278" s="267">
        <f>(1-MAX(0,MAX(L239:L240)))</f>
        <v/>
      </c>
      <c r="M278" s="267">
        <f>(1-MAX(0,MAX(M239:M240)))</f>
        <v/>
      </c>
      <c r="N278" s="267">
        <f>(1-MAX(0,MAX(N239:N240)))</f>
        <v/>
      </c>
      <c r="O278" s="267">
        <f>(1-MAX(0,MAX(O239:O240)))</f>
        <v/>
      </c>
      <c r="P278" s="267">
        <f>(1-MAX(0,MAX(P239:P240)))</f>
        <v/>
      </c>
      <c r="Q278" s="267">
        <f>(1-MAX(0,MAX(Q239:Q240)))</f>
        <v/>
      </c>
      <c r="R278" s="267">
        <f>(1-MAX(0,MAX(R239:R240)))</f>
        <v/>
      </c>
      <c r="S278" s="267">
        <f>(1-MAX(0,MAX(S239:S240)))</f>
        <v/>
      </c>
      <c r="T278" s="267">
        <f>(1-MAX(0,MAX(T239:T240)))</f>
        <v/>
      </c>
      <c r="U278" s="267">
        <f>(1-MAX(0,MAX(U239:U240)))</f>
        <v/>
      </c>
      <c r="V278" s="267">
        <f>(1-MAX(0,MAX(V239:V240)))</f>
        <v/>
      </c>
    </row>
    <row r="279" hidden="1" outlineLevel="1">
      <c r="A279" s="222" t="inlineStr">
        <is>
          <t xml:space="preserve">  Nutzen Oral 17-aa</t>
        </is>
      </c>
      <c r="G279" s="267">
        <f>(1-MAX(0,MAX(G241:G245)))</f>
        <v/>
      </c>
      <c r="H279" s="267">
        <f>(1-MAX(0,MAX(H241:H245)))</f>
        <v/>
      </c>
      <c r="I279" s="267">
        <f>(1-MAX(0,MAX(I241:I245)))</f>
        <v/>
      </c>
      <c r="J279" s="267">
        <f>(1-MAX(0,MAX(J241:J245)))</f>
        <v/>
      </c>
      <c r="K279" s="267">
        <f>(1-MAX(0,MAX(K241:K245)))</f>
        <v/>
      </c>
      <c r="L279" s="267">
        <f>(1-MAX(0,MAX(L241:L245)))</f>
        <v/>
      </c>
      <c r="M279" s="267">
        <f>(1-MAX(0,MAX(M241:M245)))</f>
        <v/>
      </c>
      <c r="N279" s="267">
        <f>(1-MAX(0,MAX(N241:N245)))</f>
        <v/>
      </c>
      <c r="O279" s="267">
        <f>(1-MAX(0,MAX(O241:O245)))</f>
        <v/>
      </c>
      <c r="P279" s="267">
        <f>(1-MAX(0,MAX(P241:P245)))</f>
        <v/>
      </c>
      <c r="Q279" s="267">
        <f>(1-MAX(0,MAX(Q241:Q245)))</f>
        <v/>
      </c>
      <c r="R279" s="267">
        <f>(1-MAX(0,MAX(R241:R245)))</f>
        <v/>
      </c>
      <c r="S279" s="267">
        <f>(1-MAX(0,MAX(S241:S245)))</f>
        <v/>
      </c>
      <c r="T279" s="267">
        <f>(1-MAX(0,MAX(T241:T245)))</f>
        <v/>
      </c>
      <c r="U279" s="267">
        <f>(1-MAX(0,MAX(U241:U245)))</f>
        <v/>
      </c>
      <c r="V279" s="267">
        <f>(1-MAX(0,MAX(V241:V245)))</f>
        <v/>
      </c>
    </row>
    <row r="280" hidden="1" outlineLevel="1">
      <c r="A280" s="222" t="inlineStr">
        <is>
          <t xml:space="preserve">  Nutzen SARM</t>
        </is>
      </c>
      <c r="G280" s="267">
        <f>(1-MAX(0,MAX(G246:G246)))</f>
        <v/>
      </c>
      <c r="H280" s="267">
        <f>(1-MAX(0,MAX(H246:H246)))</f>
        <v/>
      </c>
      <c r="I280" s="267">
        <f>(1-MAX(0,MAX(I246:I246)))</f>
        <v/>
      </c>
      <c r="J280" s="267">
        <f>(1-MAX(0,MAX(J246:J246)))</f>
        <v/>
      </c>
      <c r="K280" s="267">
        <f>(1-MAX(0,MAX(K246:K246)))</f>
        <v/>
      </c>
      <c r="L280" s="267">
        <f>(1-MAX(0,MAX(L246:L246)))</f>
        <v/>
      </c>
      <c r="M280" s="267">
        <f>(1-MAX(0,MAX(M246:M246)))</f>
        <v/>
      </c>
      <c r="N280" s="267">
        <f>(1-MAX(0,MAX(N246:N246)))</f>
        <v/>
      </c>
      <c r="O280" s="267">
        <f>(1-MAX(0,MAX(O246:O246)))</f>
        <v/>
      </c>
      <c r="P280" s="267">
        <f>(1-MAX(0,MAX(P246:P246)))</f>
        <v/>
      </c>
      <c r="Q280" s="267">
        <f>(1-MAX(0,MAX(Q246:Q246)))</f>
        <v/>
      </c>
      <c r="R280" s="267">
        <f>(1-MAX(0,MAX(R246:R246)))</f>
        <v/>
      </c>
      <c r="S280" s="267">
        <f>(1-MAX(0,MAX(S246:S246)))</f>
        <v/>
      </c>
      <c r="T280" s="267">
        <f>(1-MAX(0,MAX(T246:T246)))</f>
        <v/>
      </c>
      <c r="U280" s="267">
        <f>(1-MAX(0,MAX(U246:U246)))</f>
        <v/>
      </c>
      <c r="V280" s="267">
        <f>(1-MAX(0,MAX(V246:V246)))</f>
        <v/>
      </c>
    </row>
    <row r="281" hidden="1" outlineLevel="1">
      <c r="A281" s="222" t="inlineStr">
        <is>
          <t xml:space="preserve">  Nutzen Peptidhormon</t>
        </is>
      </c>
      <c r="G281" s="267">
        <f>(1-MAX(0,MAX(G247:G247)))</f>
        <v/>
      </c>
      <c r="H281" s="267">
        <f>(1-MAX(0,MAX(H247:H247)))</f>
        <v/>
      </c>
      <c r="I281" s="267">
        <f>(1-MAX(0,MAX(I247:I247)))</f>
        <v/>
      </c>
      <c r="J281" s="267">
        <f>(1-MAX(0,MAX(J247:J247)))</f>
        <v/>
      </c>
      <c r="K281" s="267">
        <f>(1-MAX(0,MAX(K247:K247)))</f>
        <v/>
      </c>
      <c r="L281" s="267">
        <f>(1-MAX(0,MAX(L247:L247)))</f>
        <v/>
      </c>
      <c r="M281" s="267">
        <f>(1-MAX(0,MAX(M247:M247)))</f>
        <v/>
      </c>
      <c r="N281" s="267">
        <f>(1-MAX(0,MAX(N247:N247)))</f>
        <v/>
      </c>
      <c r="O281" s="267">
        <f>(1-MAX(0,MAX(O247:O247)))</f>
        <v/>
      </c>
      <c r="P281" s="267">
        <f>(1-MAX(0,MAX(P247:P247)))</f>
        <v/>
      </c>
      <c r="Q281" s="267">
        <f>(1-MAX(0,MAX(Q247:Q247)))</f>
        <v/>
      </c>
      <c r="R281" s="267">
        <f>(1-MAX(0,MAX(R247:R247)))</f>
        <v/>
      </c>
      <c r="S281" s="267">
        <f>(1-MAX(0,MAX(S247:S247)))</f>
        <v/>
      </c>
      <c r="T281" s="267">
        <f>(1-MAX(0,MAX(T247:T247)))</f>
        <v/>
      </c>
      <c r="U281" s="267">
        <f>(1-MAX(0,MAX(U247:U247)))</f>
        <v/>
      </c>
      <c r="V281" s="267">
        <f>(1-MAX(0,MAX(V247:V247)))</f>
        <v/>
      </c>
    </row>
    <row r="282" hidden="1" outlineLevel="1">
      <c r="A282" s="222" t="inlineStr">
        <is>
          <t xml:space="preserve">  Nutzen Insulin</t>
        </is>
      </c>
      <c r="G282" s="267">
        <f>(1-MAX(0,MAX(G248:G248)))</f>
        <v/>
      </c>
      <c r="H282" s="267">
        <f>(1-MAX(0,MAX(H248:H248)))</f>
        <v/>
      </c>
      <c r="I282" s="267">
        <f>(1-MAX(0,MAX(I248:I248)))</f>
        <v/>
      </c>
      <c r="J282" s="267">
        <f>(1-MAX(0,MAX(J248:J248)))</f>
        <v/>
      </c>
      <c r="K282" s="267">
        <f>(1-MAX(0,MAX(K248:K248)))</f>
        <v/>
      </c>
      <c r="L282" s="267">
        <f>(1-MAX(0,MAX(L248:L248)))</f>
        <v/>
      </c>
      <c r="M282" s="267">
        <f>(1-MAX(0,MAX(M248:M248)))</f>
        <v/>
      </c>
      <c r="N282" s="267">
        <f>(1-MAX(0,MAX(N248:N248)))</f>
        <v/>
      </c>
      <c r="O282" s="267">
        <f>(1-MAX(0,MAX(O248:O248)))</f>
        <v/>
      </c>
      <c r="P282" s="267">
        <f>(1-MAX(0,MAX(P248:P248)))</f>
        <v/>
      </c>
      <c r="Q282" s="267">
        <f>(1-MAX(0,MAX(Q248:Q248)))</f>
        <v/>
      </c>
      <c r="R282" s="267">
        <f>(1-MAX(0,MAX(R248:R248)))</f>
        <v/>
      </c>
      <c r="S282" s="267">
        <f>(1-MAX(0,MAX(S248:S248)))</f>
        <v/>
      </c>
      <c r="T282" s="267">
        <f>(1-MAX(0,MAX(T248:T248)))</f>
        <v/>
      </c>
      <c r="U282" s="267">
        <f>(1-MAX(0,MAX(U248:U248)))</f>
        <v/>
      </c>
      <c r="V282" s="267">
        <f>(1-MAX(0,MAX(V248:V248)))</f>
        <v/>
      </c>
    </row>
    <row r="283" hidden="1" outlineLevel="1">
      <c r="A283" s="222" t="inlineStr">
        <is>
          <t xml:space="preserve">  Nutzen Beta-2-Agonist</t>
        </is>
      </c>
      <c r="G283" s="267">
        <f>(1-MAX(0,MAX(G249:G249)))</f>
        <v/>
      </c>
      <c r="H283" s="267">
        <f>(1-MAX(0,MAX(H249:H249)))</f>
        <v/>
      </c>
      <c r="I283" s="267">
        <f>(1-MAX(0,MAX(I249:I249)))</f>
        <v/>
      </c>
      <c r="J283" s="267">
        <f>(1-MAX(0,MAX(J249:J249)))</f>
        <v/>
      </c>
      <c r="K283" s="267">
        <f>(1-MAX(0,MAX(K249:K249)))</f>
        <v/>
      </c>
      <c r="L283" s="267">
        <f>(1-MAX(0,MAX(L249:L249)))</f>
        <v/>
      </c>
      <c r="M283" s="267">
        <f>(1-MAX(0,MAX(M249:M249)))</f>
        <v/>
      </c>
      <c r="N283" s="267">
        <f>(1-MAX(0,MAX(N249:N249)))</f>
        <v/>
      </c>
      <c r="O283" s="267">
        <f>(1-MAX(0,MAX(O249:O249)))</f>
        <v/>
      </c>
      <c r="P283" s="267">
        <f>(1-MAX(0,MAX(P249:P249)))</f>
        <v/>
      </c>
      <c r="Q283" s="267">
        <f>(1-MAX(0,MAX(Q249:Q249)))</f>
        <v/>
      </c>
      <c r="R283" s="267">
        <f>(1-MAX(0,MAX(R249:R249)))</f>
        <v/>
      </c>
      <c r="S283" s="267">
        <f>(1-MAX(0,MAX(S249:S249)))</f>
        <v/>
      </c>
      <c r="T283" s="267">
        <f>(1-MAX(0,MAX(T249:T249)))</f>
        <v/>
      </c>
      <c r="U283" s="267">
        <f>(1-MAX(0,MAX(U249:U249)))</f>
        <v/>
      </c>
      <c r="V283" s="267">
        <f>(1-MAX(0,MAX(V249:V249)))</f>
        <v/>
      </c>
    </row>
    <row r="284" hidden="1" outlineLevel="1">
      <c r="A284" s="222" t="inlineStr">
        <is>
          <t xml:space="preserve">  Nutzen Schilddruesenhormon</t>
        </is>
      </c>
      <c r="G284" s="267">
        <f>(1-MAX(0,MAX(G250:G250)))</f>
        <v/>
      </c>
      <c r="H284" s="267">
        <f>(1-MAX(0,MAX(H250:H250)))</f>
        <v/>
      </c>
      <c r="I284" s="267">
        <f>(1-MAX(0,MAX(I250:I250)))</f>
        <v/>
      </c>
      <c r="J284" s="267">
        <f>(1-MAX(0,MAX(J250:J250)))</f>
        <v/>
      </c>
      <c r="K284" s="267">
        <f>(1-MAX(0,MAX(K250:K250)))</f>
        <v/>
      </c>
      <c r="L284" s="267">
        <f>(1-MAX(0,MAX(L250:L250)))</f>
        <v/>
      </c>
      <c r="M284" s="267">
        <f>(1-MAX(0,MAX(M250:M250)))</f>
        <v/>
      </c>
      <c r="N284" s="267">
        <f>(1-MAX(0,MAX(N250:N250)))</f>
        <v/>
      </c>
      <c r="O284" s="267">
        <f>(1-MAX(0,MAX(O250:O250)))</f>
        <v/>
      </c>
      <c r="P284" s="267">
        <f>(1-MAX(0,MAX(P250:P250)))</f>
        <v/>
      </c>
      <c r="Q284" s="267">
        <f>(1-MAX(0,MAX(Q250:Q250)))</f>
        <v/>
      </c>
      <c r="R284" s="267">
        <f>(1-MAX(0,MAX(R250:R250)))</f>
        <v/>
      </c>
      <c r="S284" s="267">
        <f>(1-MAX(0,MAX(S250:S250)))</f>
        <v/>
      </c>
      <c r="T284" s="267">
        <f>(1-MAX(0,MAX(T250:T250)))</f>
        <v/>
      </c>
      <c r="U284" s="267">
        <f>(1-MAX(0,MAX(U250:U250)))</f>
        <v/>
      </c>
      <c r="V284" s="267">
        <f>(1-MAX(0,MAX(V250:V250)))</f>
        <v/>
      </c>
    </row>
    <row r="285" hidden="1" outlineLevel="1">
      <c r="A285" s="222" t="inlineStr">
        <is>
          <t xml:space="preserve">  Nutzen Entkoppler</t>
        </is>
      </c>
      <c r="G285" s="267">
        <f>(1-MAX(0,MAX(G251:G251)))</f>
        <v/>
      </c>
      <c r="H285" s="267">
        <f>(1-MAX(0,MAX(H251:H251)))</f>
        <v/>
      </c>
      <c r="I285" s="267">
        <f>(1-MAX(0,MAX(I251:I251)))</f>
        <v/>
      </c>
      <c r="J285" s="267">
        <f>(1-MAX(0,MAX(J251:J251)))</f>
        <v/>
      </c>
      <c r="K285" s="267">
        <f>(1-MAX(0,MAX(K251:K251)))</f>
        <v/>
      </c>
      <c r="L285" s="267">
        <f>(1-MAX(0,MAX(L251:L251)))</f>
        <v/>
      </c>
      <c r="M285" s="267">
        <f>(1-MAX(0,MAX(M251:M251)))</f>
        <v/>
      </c>
      <c r="N285" s="267">
        <f>(1-MAX(0,MAX(N251:N251)))</f>
        <v/>
      </c>
      <c r="O285" s="267">
        <f>(1-MAX(0,MAX(O251:O251)))</f>
        <v/>
      </c>
      <c r="P285" s="267">
        <f>(1-MAX(0,MAX(P251:P251)))</f>
        <v/>
      </c>
      <c r="Q285" s="267">
        <f>(1-MAX(0,MAX(Q251:Q251)))</f>
        <v/>
      </c>
      <c r="R285" s="267">
        <f>(1-MAX(0,MAX(R251:R251)))</f>
        <v/>
      </c>
      <c r="S285" s="267">
        <f>(1-MAX(0,MAX(S251:S251)))</f>
        <v/>
      </c>
      <c r="T285" s="267">
        <f>(1-MAX(0,MAX(T251:T251)))</f>
        <v/>
      </c>
      <c r="U285" s="267">
        <f>(1-MAX(0,MAX(U251:U251)))</f>
        <v/>
      </c>
      <c r="V285" s="267">
        <f>(1-MAX(0,MAX(V251:V251)))</f>
        <v/>
      </c>
    </row>
    <row r="286" hidden="1" outlineLevel="1">
      <c r="A286" s="222" t="inlineStr">
        <is>
          <t xml:space="preserve">  Nutzen Rauchen</t>
        </is>
      </c>
      <c r="G286" s="267">
        <f>(1-MAX(0,MAX(G252:G252)))</f>
        <v/>
      </c>
      <c r="H286" s="267">
        <f>(1-MAX(0,MAX(H252:H252)))</f>
        <v/>
      </c>
      <c r="I286" s="267">
        <f>(1-MAX(0,MAX(I252:I252)))</f>
        <v/>
      </c>
      <c r="J286" s="267">
        <f>(1-MAX(0,MAX(J252:J252)))</f>
        <v/>
      </c>
      <c r="K286" s="267">
        <f>(1-MAX(0,MAX(K252:K252)))</f>
        <v/>
      </c>
      <c r="L286" s="267">
        <f>(1-MAX(0,MAX(L252:L252)))</f>
        <v/>
      </c>
      <c r="M286" s="267">
        <f>(1-MAX(0,MAX(M252:M252)))</f>
        <v/>
      </c>
      <c r="N286" s="267">
        <f>(1-MAX(0,MAX(N252:N252)))</f>
        <v/>
      </c>
      <c r="O286" s="267">
        <f>(1-MAX(0,MAX(O252:O252)))</f>
        <v/>
      </c>
      <c r="P286" s="267">
        <f>(1-MAX(0,MAX(P252:P252)))</f>
        <v/>
      </c>
      <c r="Q286" s="267">
        <f>(1-MAX(0,MAX(Q252:Q252)))</f>
        <v/>
      </c>
      <c r="R286" s="267">
        <f>(1-MAX(0,MAX(R252:R252)))</f>
        <v/>
      </c>
      <c r="S286" s="267">
        <f>(1-MAX(0,MAX(S252:S252)))</f>
        <v/>
      </c>
      <c r="T286" s="267">
        <f>(1-MAX(0,MAX(T252:T252)))</f>
        <v/>
      </c>
      <c r="U286" s="267">
        <f>(1-MAX(0,MAX(U252:U252)))</f>
        <v/>
      </c>
      <c r="V286" s="267">
        <f>(1-MAX(0,MAX(V252:V252)))</f>
        <v/>
      </c>
    </row>
    <row r="287" hidden="1" outlineLevel="1">
      <c r="A287" s="222" t="inlineStr">
        <is>
          <t xml:space="preserve">  Nutzen Alkohol</t>
        </is>
      </c>
      <c r="G287" s="267">
        <f>(1-MAX(0,MAX(G253:G253)))</f>
        <v/>
      </c>
      <c r="H287" s="267">
        <f>(1-MAX(0,MAX(H253:H253)))</f>
        <v/>
      </c>
      <c r="I287" s="267">
        <f>(1-MAX(0,MAX(I253:I253)))</f>
        <v/>
      </c>
      <c r="J287" s="267">
        <f>(1-MAX(0,MAX(J253:J253)))</f>
        <v/>
      </c>
      <c r="K287" s="267">
        <f>(1-MAX(0,MAX(K253:K253)))</f>
        <v/>
      </c>
      <c r="L287" s="267">
        <f>(1-MAX(0,MAX(L253:L253)))</f>
        <v/>
      </c>
      <c r="M287" s="267">
        <f>(1-MAX(0,MAX(M253:M253)))</f>
        <v/>
      </c>
      <c r="N287" s="267">
        <f>(1-MAX(0,MAX(N253:N253)))</f>
        <v/>
      </c>
      <c r="O287" s="267">
        <f>(1-MAX(0,MAX(O253:O253)))</f>
        <v/>
      </c>
      <c r="P287" s="267">
        <f>(1-MAX(0,MAX(P253:P253)))</f>
        <v/>
      </c>
      <c r="Q287" s="267">
        <f>(1-MAX(0,MAX(Q253:Q253)))</f>
        <v/>
      </c>
      <c r="R287" s="267">
        <f>(1-MAX(0,MAX(R253:R253)))</f>
        <v/>
      </c>
      <c r="S287" s="267">
        <f>(1-MAX(0,MAX(S253:S253)))</f>
        <v/>
      </c>
      <c r="T287" s="267">
        <f>(1-MAX(0,MAX(T253:T253)))</f>
        <v/>
      </c>
      <c r="U287" s="267">
        <f>(1-MAX(0,MAX(U253:U253)))</f>
        <v/>
      </c>
      <c r="V287" s="267">
        <f>(1-MAX(0,MAX(V253:V253)))</f>
        <v/>
      </c>
    </row>
    <row r="288" hidden="1" outlineLevel="1">
      <c r="A288" s="222" t="inlineStr">
        <is>
          <t xml:space="preserve">  Nutzenfaktor B) laeuft bereits plus geplant</t>
        </is>
      </c>
      <c r="G288" s="267">
        <f>PRODUCT(G254:G287)</f>
        <v/>
      </c>
      <c r="H288" s="267">
        <f>PRODUCT(H254:H287)</f>
        <v/>
      </c>
      <c r="I288" s="267">
        <f>PRODUCT(I254:I287)</f>
        <v/>
      </c>
      <c r="J288" s="267">
        <f>PRODUCT(J254:J287)</f>
        <v/>
      </c>
      <c r="K288" s="267">
        <f>PRODUCT(K254:K287)</f>
        <v/>
      </c>
      <c r="L288" s="267">
        <f>PRODUCT(L254:L287)</f>
        <v/>
      </c>
      <c r="M288" s="267">
        <f>PRODUCT(M254:M287)</f>
        <v/>
      </c>
      <c r="N288" s="267">
        <f>PRODUCT(N254:N287)</f>
        <v/>
      </c>
      <c r="O288" s="267">
        <f>PRODUCT(O254:O287)</f>
        <v/>
      </c>
      <c r="P288" s="267">
        <f>PRODUCT(P254:P287)</f>
        <v/>
      </c>
      <c r="Q288" s="267">
        <f>PRODUCT(Q254:Q287)</f>
        <v/>
      </c>
      <c r="R288" s="267">
        <f>PRODUCT(R254:R287)</f>
        <v/>
      </c>
      <c r="S288" s="267">
        <f>PRODUCT(S254:S287)</f>
        <v/>
      </c>
      <c r="T288" s="267">
        <f>PRODUCT(T254:T287)</f>
        <v/>
      </c>
      <c r="U288" s="267">
        <f>PRODUCT(U254:U287)</f>
        <v/>
      </c>
      <c r="V288" s="267">
        <f>PRODUCT(V254:V287)</f>
        <v/>
      </c>
    </row>
    <row r="289" hidden="1" outlineLevel="1">
      <c r="A289" s="222" t="inlineStr">
        <is>
          <t xml:space="preserve">  Last Statin/PCSK9</t>
        </is>
      </c>
      <c r="G289" s="267">
        <f>(1-MIN(0,MIN(G212:G213)))</f>
        <v/>
      </c>
      <c r="H289" s="267">
        <f>(1-MIN(0,MIN(H212:H213)))</f>
        <v/>
      </c>
      <c r="I289" s="267">
        <f>(1-MIN(0,MIN(I212:I213)))</f>
        <v/>
      </c>
      <c r="J289" s="267">
        <f>(1-MIN(0,MIN(J212:J213)))</f>
        <v/>
      </c>
      <c r="K289" s="267">
        <f>(1-MIN(0,MIN(K212:K213)))</f>
        <v/>
      </c>
      <c r="L289" s="267">
        <f>(1-MIN(0,MIN(L212:L213)))</f>
        <v/>
      </c>
      <c r="M289" s="267">
        <f>(1-MIN(0,MIN(M212:M213)))</f>
        <v/>
      </c>
      <c r="N289" s="267">
        <f>(1-MIN(0,MIN(N212:N213)))</f>
        <v/>
      </c>
      <c r="O289" s="267">
        <f>(1-MIN(0,MIN(O212:O213)))</f>
        <v/>
      </c>
      <c r="P289" s="267">
        <f>(1-MIN(0,MIN(P212:P213)))</f>
        <v/>
      </c>
      <c r="Q289" s="267">
        <f>(1-MIN(0,MIN(Q212:Q213)))</f>
        <v/>
      </c>
      <c r="R289" s="267">
        <f>(1-MIN(0,MIN(R212:R213)))</f>
        <v/>
      </c>
      <c r="S289" s="267">
        <f>(1-MIN(0,MIN(S212:S213)))</f>
        <v/>
      </c>
      <c r="T289" s="267">
        <f>(1-MIN(0,MIN(T212:T213)))</f>
        <v/>
      </c>
      <c r="U289" s="267">
        <f>(1-MIN(0,MIN(U212:U213)))</f>
        <v/>
      </c>
      <c r="V289" s="267">
        <f>(1-MIN(0,MIN(V212:V213)))</f>
        <v/>
      </c>
    </row>
    <row r="290" hidden="1" outlineLevel="1">
      <c r="A290" s="222" t="inlineStr">
        <is>
          <t xml:space="preserve">  Last Cholesterin-Resorptionshemmer</t>
        </is>
      </c>
      <c r="G290" s="267">
        <f>(1-MIN(0,MIN(G214:G214)))</f>
        <v/>
      </c>
      <c r="H290" s="267">
        <f>(1-MIN(0,MIN(H214:H214)))</f>
        <v/>
      </c>
      <c r="I290" s="267">
        <f>(1-MIN(0,MIN(I214:I214)))</f>
        <v/>
      </c>
      <c r="J290" s="267">
        <f>(1-MIN(0,MIN(J214:J214)))</f>
        <v/>
      </c>
      <c r="K290" s="267">
        <f>(1-MIN(0,MIN(K214:K214)))</f>
        <v/>
      </c>
      <c r="L290" s="267">
        <f>(1-MIN(0,MIN(L214:L214)))</f>
        <v/>
      </c>
      <c r="M290" s="267">
        <f>(1-MIN(0,MIN(M214:M214)))</f>
        <v/>
      </c>
      <c r="N290" s="267">
        <f>(1-MIN(0,MIN(N214:N214)))</f>
        <v/>
      </c>
      <c r="O290" s="267">
        <f>(1-MIN(0,MIN(O214:O214)))</f>
        <v/>
      </c>
      <c r="P290" s="267">
        <f>(1-MIN(0,MIN(P214:P214)))</f>
        <v/>
      </c>
      <c r="Q290" s="267">
        <f>(1-MIN(0,MIN(Q214:Q214)))</f>
        <v/>
      </c>
      <c r="R290" s="267">
        <f>(1-MIN(0,MIN(R214:R214)))</f>
        <v/>
      </c>
      <c r="S290" s="267">
        <f>(1-MIN(0,MIN(S214:S214)))</f>
        <v/>
      </c>
      <c r="T290" s="267">
        <f>(1-MIN(0,MIN(T214:T214)))</f>
        <v/>
      </c>
      <c r="U290" s="267">
        <f>(1-MIN(0,MIN(U214:U214)))</f>
        <v/>
      </c>
      <c r="V290" s="267">
        <f>(1-MIN(0,MIN(V214:V214)))</f>
        <v/>
      </c>
    </row>
    <row r="291" hidden="1" outlineLevel="1">
      <c r="A291" s="222" t="inlineStr">
        <is>
          <t xml:space="preserve">  Last ACL-Hemmer</t>
        </is>
      </c>
      <c r="G291" s="267">
        <f>(1-MIN(0,MIN(G215:G215)))</f>
        <v/>
      </c>
      <c r="H291" s="267">
        <f>(1-MIN(0,MIN(H215:H215)))</f>
        <v/>
      </c>
      <c r="I291" s="267">
        <f>(1-MIN(0,MIN(I215:I215)))</f>
        <v/>
      </c>
      <c r="J291" s="267">
        <f>(1-MIN(0,MIN(J215:J215)))</f>
        <v/>
      </c>
      <c r="K291" s="267">
        <f>(1-MIN(0,MIN(K215:K215)))</f>
        <v/>
      </c>
      <c r="L291" s="267">
        <f>(1-MIN(0,MIN(L215:L215)))</f>
        <v/>
      </c>
      <c r="M291" s="267">
        <f>(1-MIN(0,MIN(M215:M215)))</f>
        <v/>
      </c>
      <c r="N291" s="267">
        <f>(1-MIN(0,MIN(N215:N215)))</f>
        <v/>
      </c>
      <c r="O291" s="267">
        <f>(1-MIN(0,MIN(O215:O215)))</f>
        <v/>
      </c>
      <c r="P291" s="267">
        <f>(1-MIN(0,MIN(P215:P215)))</f>
        <v/>
      </c>
      <c r="Q291" s="267">
        <f>(1-MIN(0,MIN(Q215:Q215)))</f>
        <v/>
      </c>
      <c r="R291" s="267">
        <f>(1-MIN(0,MIN(R215:R215)))</f>
        <v/>
      </c>
      <c r="S291" s="267">
        <f>(1-MIN(0,MIN(S215:S215)))</f>
        <v/>
      </c>
      <c r="T291" s="267">
        <f>(1-MIN(0,MIN(T215:T215)))</f>
        <v/>
      </c>
      <c r="U291" s="267">
        <f>(1-MIN(0,MIN(U215:U215)))</f>
        <v/>
      </c>
      <c r="V291" s="267">
        <f>(1-MIN(0,MIN(V215:V215)))</f>
        <v/>
      </c>
    </row>
    <row r="292" hidden="1" outlineLevel="1">
      <c r="A292" s="222" t="inlineStr">
        <is>
          <t xml:space="preserve">  Last RAAS-Blocker</t>
        </is>
      </c>
      <c r="G292" s="267">
        <f>(1-MIN(0,MIN(G216:G217)))</f>
        <v/>
      </c>
      <c r="H292" s="267">
        <f>(1-MIN(0,MIN(H216:H217)))</f>
        <v/>
      </c>
      <c r="I292" s="267">
        <f>(1-MIN(0,MIN(I216:I217)))</f>
        <v/>
      </c>
      <c r="J292" s="267">
        <f>(1-MIN(0,MIN(J216:J217)))</f>
        <v/>
      </c>
      <c r="K292" s="267">
        <f>(1-MIN(0,MIN(K216:K217)))</f>
        <v/>
      </c>
      <c r="L292" s="267">
        <f>(1-MIN(0,MIN(L216:L217)))</f>
        <v/>
      </c>
      <c r="M292" s="267">
        <f>(1-MIN(0,MIN(M216:M217)))</f>
        <v/>
      </c>
      <c r="N292" s="267">
        <f>(1-MIN(0,MIN(N216:N217)))</f>
        <v/>
      </c>
      <c r="O292" s="267">
        <f>(1-MIN(0,MIN(O216:O217)))</f>
        <v/>
      </c>
      <c r="P292" s="267">
        <f>(1-MIN(0,MIN(P216:P217)))</f>
        <v/>
      </c>
      <c r="Q292" s="267">
        <f>(1-MIN(0,MIN(Q216:Q217)))</f>
        <v/>
      </c>
      <c r="R292" s="267">
        <f>(1-MIN(0,MIN(R216:R217)))</f>
        <v/>
      </c>
      <c r="S292" s="267">
        <f>(1-MIN(0,MIN(S216:S217)))</f>
        <v/>
      </c>
      <c r="T292" s="267">
        <f>(1-MIN(0,MIN(T216:T217)))</f>
        <v/>
      </c>
      <c r="U292" s="267">
        <f>(1-MIN(0,MIN(U216:U217)))</f>
        <v/>
      </c>
      <c r="V292" s="267">
        <f>(1-MIN(0,MIN(V216:V217)))</f>
        <v/>
      </c>
    </row>
    <row r="293" hidden="1" outlineLevel="1">
      <c r="A293" s="222" t="inlineStr">
        <is>
          <t xml:space="preserve">  Last Calciumantagonist</t>
        </is>
      </c>
      <c r="G293" s="267">
        <f>(1-MIN(0,MIN(G218:G218)))</f>
        <v/>
      </c>
      <c r="H293" s="267">
        <f>(1-MIN(0,MIN(H218:H218)))</f>
        <v/>
      </c>
      <c r="I293" s="267">
        <f>(1-MIN(0,MIN(I218:I218)))</f>
        <v/>
      </c>
      <c r="J293" s="267">
        <f>(1-MIN(0,MIN(J218:J218)))</f>
        <v/>
      </c>
      <c r="K293" s="267">
        <f>(1-MIN(0,MIN(K218:K218)))</f>
        <v/>
      </c>
      <c r="L293" s="267">
        <f>(1-MIN(0,MIN(L218:L218)))</f>
        <v/>
      </c>
      <c r="M293" s="267">
        <f>(1-MIN(0,MIN(M218:M218)))</f>
        <v/>
      </c>
      <c r="N293" s="267">
        <f>(1-MIN(0,MIN(N218:N218)))</f>
        <v/>
      </c>
      <c r="O293" s="267">
        <f>(1-MIN(0,MIN(O218:O218)))</f>
        <v/>
      </c>
      <c r="P293" s="267">
        <f>(1-MIN(0,MIN(P218:P218)))</f>
        <v/>
      </c>
      <c r="Q293" s="267">
        <f>(1-MIN(0,MIN(Q218:Q218)))</f>
        <v/>
      </c>
      <c r="R293" s="267">
        <f>(1-MIN(0,MIN(R218:R218)))</f>
        <v/>
      </c>
      <c r="S293" s="267">
        <f>(1-MIN(0,MIN(S218:S218)))</f>
        <v/>
      </c>
      <c r="T293" s="267">
        <f>(1-MIN(0,MIN(T218:T218)))</f>
        <v/>
      </c>
      <c r="U293" s="267">
        <f>(1-MIN(0,MIN(U218:U218)))</f>
        <v/>
      </c>
      <c r="V293" s="267">
        <f>(1-MIN(0,MIN(V218:V218)))</f>
        <v/>
      </c>
    </row>
    <row r="294" hidden="1" outlineLevel="1">
      <c r="A294" s="222" t="inlineStr">
        <is>
          <t xml:space="preserve">  Last Betablocker</t>
        </is>
      </c>
      <c r="G294" s="267">
        <f>(1-MIN(0,MIN(G219:G219)))</f>
        <v/>
      </c>
      <c r="H294" s="267">
        <f>(1-MIN(0,MIN(H219:H219)))</f>
        <v/>
      </c>
      <c r="I294" s="267">
        <f>(1-MIN(0,MIN(I219:I219)))</f>
        <v/>
      </c>
      <c r="J294" s="267">
        <f>(1-MIN(0,MIN(J219:J219)))</f>
        <v/>
      </c>
      <c r="K294" s="267">
        <f>(1-MIN(0,MIN(K219:K219)))</f>
        <v/>
      </c>
      <c r="L294" s="267">
        <f>(1-MIN(0,MIN(L219:L219)))</f>
        <v/>
      </c>
      <c r="M294" s="267">
        <f>(1-MIN(0,MIN(M219:M219)))</f>
        <v/>
      </c>
      <c r="N294" s="267">
        <f>(1-MIN(0,MIN(N219:N219)))</f>
        <v/>
      </c>
      <c r="O294" s="267">
        <f>(1-MIN(0,MIN(O219:O219)))</f>
        <v/>
      </c>
      <c r="P294" s="267">
        <f>(1-MIN(0,MIN(P219:P219)))</f>
        <v/>
      </c>
      <c r="Q294" s="267">
        <f>(1-MIN(0,MIN(Q219:Q219)))</f>
        <v/>
      </c>
      <c r="R294" s="267">
        <f>(1-MIN(0,MIN(R219:R219)))</f>
        <v/>
      </c>
      <c r="S294" s="267">
        <f>(1-MIN(0,MIN(S219:S219)))</f>
        <v/>
      </c>
      <c r="T294" s="267">
        <f>(1-MIN(0,MIN(T219:T219)))</f>
        <v/>
      </c>
      <c r="U294" s="267">
        <f>(1-MIN(0,MIN(U219:U219)))</f>
        <v/>
      </c>
      <c r="V294" s="267">
        <f>(1-MIN(0,MIN(V219:V219)))</f>
        <v/>
      </c>
    </row>
    <row r="295" hidden="1" outlineLevel="1">
      <c r="A295" s="222" t="inlineStr">
        <is>
          <t xml:space="preserve">  Last PDE5-Hemmer</t>
        </is>
      </c>
      <c r="G295" s="267">
        <f>(1-MIN(0,MIN(G220:G220)))</f>
        <v/>
      </c>
      <c r="H295" s="267">
        <f>(1-MIN(0,MIN(H220:H220)))</f>
        <v/>
      </c>
      <c r="I295" s="267">
        <f>(1-MIN(0,MIN(I220:I220)))</f>
        <v/>
      </c>
      <c r="J295" s="267">
        <f>(1-MIN(0,MIN(J220:J220)))</f>
        <v/>
      </c>
      <c r="K295" s="267">
        <f>(1-MIN(0,MIN(K220:K220)))</f>
        <v/>
      </c>
      <c r="L295" s="267">
        <f>(1-MIN(0,MIN(L220:L220)))</f>
        <v/>
      </c>
      <c r="M295" s="267">
        <f>(1-MIN(0,MIN(M220:M220)))</f>
        <v/>
      </c>
      <c r="N295" s="267">
        <f>(1-MIN(0,MIN(N220:N220)))</f>
        <v/>
      </c>
      <c r="O295" s="267">
        <f>(1-MIN(0,MIN(O220:O220)))</f>
        <v/>
      </c>
      <c r="P295" s="267">
        <f>(1-MIN(0,MIN(P220:P220)))</f>
        <v/>
      </c>
      <c r="Q295" s="267">
        <f>(1-MIN(0,MIN(Q220:Q220)))</f>
        <v/>
      </c>
      <c r="R295" s="267">
        <f>(1-MIN(0,MIN(R220:R220)))</f>
        <v/>
      </c>
      <c r="S295" s="267">
        <f>(1-MIN(0,MIN(S220:S220)))</f>
        <v/>
      </c>
      <c r="T295" s="267">
        <f>(1-MIN(0,MIN(T220:T220)))</f>
        <v/>
      </c>
      <c r="U295" s="267">
        <f>(1-MIN(0,MIN(U220:U220)))</f>
        <v/>
      </c>
      <c r="V295" s="267">
        <f>(1-MIN(0,MIN(V220:V220)))</f>
        <v/>
      </c>
    </row>
    <row r="296" hidden="1" outlineLevel="1">
      <c r="A296" s="222" t="inlineStr">
        <is>
          <t xml:space="preserve">  Last Aderlass</t>
        </is>
      </c>
      <c r="G296" s="267">
        <f>(1-MIN(0,MIN(G221:G221)))</f>
        <v/>
      </c>
      <c r="H296" s="267">
        <f>(1-MIN(0,MIN(H221:H221)))</f>
        <v/>
      </c>
      <c r="I296" s="267">
        <f>(1-MIN(0,MIN(I221:I221)))</f>
        <v/>
      </c>
      <c r="J296" s="267">
        <f>(1-MIN(0,MIN(J221:J221)))</f>
        <v/>
      </c>
      <c r="K296" s="267">
        <f>(1-MIN(0,MIN(K221:K221)))</f>
        <v/>
      </c>
      <c r="L296" s="267">
        <f>(1-MIN(0,MIN(L221:L221)))</f>
        <v/>
      </c>
      <c r="M296" s="267">
        <f>(1-MIN(0,MIN(M221:M221)))</f>
        <v/>
      </c>
      <c r="N296" s="267">
        <f>(1-MIN(0,MIN(N221:N221)))</f>
        <v/>
      </c>
      <c r="O296" s="267">
        <f>(1-MIN(0,MIN(O221:O221)))</f>
        <v/>
      </c>
      <c r="P296" s="267">
        <f>(1-MIN(0,MIN(P221:P221)))</f>
        <v/>
      </c>
      <c r="Q296" s="267">
        <f>(1-MIN(0,MIN(Q221:Q221)))</f>
        <v/>
      </c>
      <c r="R296" s="267">
        <f>(1-MIN(0,MIN(R221:R221)))</f>
        <v/>
      </c>
      <c r="S296" s="267">
        <f>(1-MIN(0,MIN(S221:S221)))</f>
        <v/>
      </c>
      <c r="T296" s="267">
        <f>(1-MIN(0,MIN(T221:T221)))</f>
        <v/>
      </c>
      <c r="U296" s="267">
        <f>(1-MIN(0,MIN(U221:U221)))</f>
        <v/>
      </c>
      <c r="V296" s="267">
        <f>(1-MIN(0,MIN(V221:V221)))</f>
        <v/>
      </c>
    </row>
    <row r="297" hidden="1" outlineLevel="1">
      <c r="A297" s="222" t="inlineStr">
        <is>
          <t xml:space="preserve">  Last SGLT2</t>
        </is>
      </c>
      <c r="G297" s="267">
        <f>(1-MIN(0,MIN(G222:G222)))</f>
        <v/>
      </c>
      <c r="H297" s="267">
        <f>(1-MIN(0,MIN(H222:H222)))</f>
        <v/>
      </c>
      <c r="I297" s="267">
        <f>(1-MIN(0,MIN(I222:I222)))</f>
        <v/>
      </c>
      <c r="J297" s="267">
        <f>(1-MIN(0,MIN(J222:J222)))</f>
        <v/>
      </c>
      <c r="K297" s="267">
        <f>(1-MIN(0,MIN(K222:K222)))</f>
        <v/>
      </c>
      <c r="L297" s="267">
        <f>(1-MIN(0,MIN(L222:L222)))</f>
        <v/>
      </c>
      <c r="M297" s="267">
        <f>(1-MIN(0,MIN(M222:M222)))</f>
        <v/>
      </c>
      <c r="N297" s="267">
        <f>(1-MIN(0,MIN(N222:N222)))</f>
        <v/>
      </c>
      <c r="O297" s="267">
        <f>(1-MIN(0,MIN(O222:O222)))</f>
        <v/>
      </c>
      <c r="P297" s="267">
        <f>(1-MIN(0,MIN(P222:P222)))</f>
        <v/>
      </c>
      <c r="Q297" s="267">
        <f>(1-MIN(0,MIN(Q222:Q222)))</f>
        <v/>
      </c>
      <c r="R297" s="267">
        <f>(1-MIN(0,MIN(R222:R222)))</f>
        <v/>
      </c>
      <c r="S297" s="267">
        <f>(1-MIN(0,MIN(S222:S222)))</f>
        <v/>
      </c>
      <c r="T297" s="267">
        <f>(1-MIN(0,MIN(T222:T222)))</f>
        <v/>
      </c>
      <c r="U297" s="267">
        <f>(1-MIN(0,MIN(U222:U222)))</f>
        <v/>
      </c>
      <c r="V297" s="267">
        <f>(1-MIN(0,MIN(V222:V222)))</f>
        <v/>
      </c>
    </row>
    <row r="298" hidden="1" outlineLevel="1">
      <c r="A298" s="222" t="inlineStr">
        <is>
          <t xml:space="preserve">  Last Inkretin</t>
        </is>
      </c>
      <c r="G298" s="267">
        <f>(1-MIN(0,MIN(G223:G223)))</f>
        <v/>
      </c>
      <c r="H298" s="267">
        <f>(1-MIN(0,MIN(H223:H223)))</f>
        <v/>
      </c>
      <c r="I298" s="267">
        <f>(1-MIN(0,MIN(I223:I223)))</f>
        <v/>
      </c>
      <c r="J298" s="267">
        <f>(1-MIN(0,MIN(J223:J223)))</f>
        <v/>
      </c>
      <c r="K298" s="267">
        <f>(1-MIN(0,MIN(K223:K223)))</f>
        <v/>
      </c>
      <c r="L298" s="267">
        <f>(1-MIN(0,MIN(L223:L223)))</f>
        <v/>
      </c>
      <c r="M298" s="267">
        <f>(1-MIN(0,MIN(M223:M223)))</f>
        <v/>
      </c>
      <c r="N298" s="267">
        <f>(1-MIN(0,MIN(N223:N223)))</f>
        <v/>
      </c>
      <c r="O298" s="267">
        <f>(1-MIN(0,MIN(O223:O223)))</f>
        <v/>
      </c>
      <c r="P298" s="267">
        <f>(1-MIN(0,MIN(P223:P223)))</f>
        <v/>
      </c>
      <c r="Q298" s="267">
        <f>(1-MIN(0,MIN(Q223:Q223)))</f>
        <v/>
      </c>
      <c r="R298" s="267">
        <f>(1-MIN(0,MIN(R223:R223)))</f>
        <v/>
      </c>
      <c r="S298" s="267">
        <f>(1-MIN(0,MIN(S223:S223)))</f>
        <v/>
      </c>
      <c r="T298" s="267">
        <f>(1-MIN(0,MIN(T223:T223)))</f>
        <v/>
      </c>
      <c r="U298" s="267">
        <f>(1-MIN(0,MIN(U223:U223)))</f>
        <v/>
      </c>
      <c r="V298" s="267">
        <f>(1-MIN(0,MIN(V223:V223)))</f>
        <v/>
      </c>
    </row>
    <row r="299" hidden="1" outlineLevel="1">
      <c r="A299" s="222" t="inlineStr">
        <is>
          <t xml:space="preserve">  Last Insulinsensitizer</t>
        </is>
      </c>
      <c r="G299" s="267">
        <f>(1-MIN(0,MIN(G224:G224)))</f>
        <v/>
      </c>
      <c r="H299" s="267">
        <f>(1-MIN(0,MIN(H224:H224)))</f>
        <v/>
      </c>
      <c r="I299" s="267">
        <f>(1-MIN(0,MIN(I224:I224)))</f>
        <v/>
      </c>
      <c r="J299" s="267">
        <f>(1-MIN(0,MIN(J224:J224)))</f>
        <v/>
      </c>
      <c r="K299" s="267">
        <f>(1-MIN(0,MIN(K224:K224)))</f>
        <v/>
      </c>
      <c r="L299" s="267">
        <f>(1-MIN(0,MIN(L224:L224)))</f>
        <v/>
      </c>
      <c r="M299" s="267">
        <f>(1-MIN(0,MIN(M224:M224)))</f>
        <v/>
      </c>
      <c r="N299" s="267">
        <f>(1-MIN(0,MIN(N224:N224)))</f>
        <v/>
      </c>
      <c r="O299" s="267">
        <f>(1-MIN(0,MIN(O224:O224)))</f>
        <v/>
      </c>
      <c r="P299" s="267">
        <f>(1-MIN(0,MIN(P224:P224)))</f>
        <v/>
      </c>
      <c r="Q299" s="267">
        <f>(1-MIN(0,MIN(Q224:Q224)))</f>
        <v/>
      </c>
      <c r="R299" s="267">
        <f>(1-MIN(0,MIN(R224:R224)))</f>
        <v/>
      </c>
      <c r="S299" s="267">
        <f>(1-MIN(0,MIN(S224:S224)))</f>
        <v/>
      </c>
      <c r="T299" s="267">
        <f>(1-MIN(0,MIN(T224:T224)))</f>
        <v/>
      </c>
      <c r="U299" s="267">
        <f>(1-MIN(0,MIN(U224:U224)))</f>
        <v/>
      </c>
      <c r="V299" s="267">
        <f>(1-MIN(0,MIN(V224:V224)))</f>
        <v/>
      </c>
    </row>
    <row r="300" hidden="1" outlineLevel="1">
      <c r="A300" s="222" t="inlineStr">
        <is>
          <t xml:space="preserve">  Last Omega-3</t>
        </is>
      </c>
      <c r="G300" s="267">
        <f>(1-MIN(0,MIN(G225:G225)))</f>
        <v/>
      </c>
      <c r="H300" s="267">
        <f>(1-MIN(0,MIN(H225:H225)))</f>
        <v/>
      </c>
      <c r="I300" s="267">
        <f>(1-MIN(0,MIN(I225:I225)))</f>
        <v/>
      </c>
      <c r="J300" s="267">
        <f>(1-MIN(0,MIN(J225:J225)))</f>
        <v/>
      </c>
      <c r="K300" s="267">
        <f>(1-MIN(0,MIN(K225:K225)))</f>
        <v/>
      </c>
      <c r="L300" s="267">
        <f>(1-MIN(0,MIN(L225:L225)))</f>
        <v/>
      </c>
      <c r="M300" s="267">
        <f>(1-MIN(0,MIN(M225:M225)))</f>
        <v/>
      </c>
      <c r="N300" s="267">
        <f>(1-MIN(0,MIN(N225:N225)))</f>
        <v/>
      </c>
      <c r="O300" s="267">
        <f>(1-MIN(0,MIN(O225:O225)))</f>
        <v/>
      </c>
      <c r="P300" s="267">
        <f>(1-MIN(0,MIN(P225:P225)))</f>
        <v/>
      </c>
      <c r="Q300" s="267">
        <f>(1-MIN(0,MIN(Q225:Q225)))</f>
        <v/>
      </c>
      <c r="R300" s="267">
        <f>(1-MIN(0,MIN(R225:R225)))</f>
        <v/>
      </c>
      <c r="S300" s="267">
        <f>(1-MIN(0,MIN(S225:S225)))</f>
        <v/>
      </c>
      <c r="T300" s="267">
        <f>(1-MIN(0,MIN(T225:T225)))</f>
        <v/>
      </c>
      <c r="U300" s="267">
        <f>(1-MIN(0,MIN(U225:U225)))</f>
        <v/>
      </c>
      <c r="V300" s="267">
        <f>(1-MIN(0,MIN(V225:V225)))</f>
        <v/>
      </c>
    </row>
    <row r="301" hidden="1" outlineLevel="1">
      <c r="A301" s="222" t="inlineStr">
        <is>
          <t xml:space="preserve">  Last OTC-Stack</t>
        </is>
      </c>
      <c r="G301" s="267">
        <f>(1-MIN(0,MIN(G226:G226)))</f>
        <v/>
      </c>
      <c r="H301" s="267">
        <f>(1-MIN(0,MIN(H226:H226)))</f>
        <v/>
      </c>
      <c r="I301" s="267">
        <f>(1-MIN(0,MIN(I226:I226)))</f>
        <v/>
      </c>
      <c r="J301" s="267">
        <f>(1-MIN(0,MIN(J226:J226)))</f>
        <v/>
      </c>
      <c r="K301" s="267">
        <f>(1-MIN(0,MIN(K226:K226)))</f>
        <v/>
      </c>
      <c r="L301" s="267">
        <f>(1-MIN(0,MIN(L226:L226)))</f>
        <v/>
      </c>
      <c r="M301" s="267">
        <f>(1-MIN(0,MIN(M226:M226)))</f>
        <v/>
      </c>
      <c r="N301" s="267">
        <f>(1-MIN(0,MIN(N226:N226)))</f>
        <v/>
      </c>
      <c r="O301" s="267">
        <f>(1-MIN(0,MIN(O226:O226)))</f>
        <v/>
      </c>
      <c r="P301" s="267">
        <f>(1-MIN(0,MIN(P226:P226)))</f>
        <v/>
      </c>
      <c r="Q301" s="267">
        <f>(1-MIN(0,MIN(Q226:Q226)))</f>
        <v/>
      </c>
      <c r="R301" s="267">
        <f>(1-MIN(0,MIN(R226:R226)))</f>
        <v/>
      </c>
      <c r="S301" s="267">
        <f>(1-MIN(0,MIN(S226:S226)))</f>
        <v/>
      </c>
      <c r="T301" s="267">
        <f>(1-MIN(0,MIN(T226:T226)))</f>
        <v/>
      </c>
      <c r="U301" s="267">
        <f>(1-MIN(0,MIN(U226:U226)))</f>
        <v/>
      </c>
      <c r="V301" s="267">
        <f>(1-MIN(0,MIN(V226:V226)))</f>
        <v/>
      </c>
    </row>
    <row r="302" hidden="1" outlineLevel="1">
      <c r="A302" s="222" t="inlineStr">
        <is>
          <t xml:space="preserve">  Last Leber-Supplement</t>
        </is>
      </c>
      <c r="G302" s="267">
        <f>(1-MIN(0,MIN(G227:G227)))</f>
        <v/>
      </c>
      <c r="H302" s="267">
        <f>(1-MIN(0,MIN(H227:H227)))</f>
        <v/>
      </c>
      <c r="I302" s="267">
        <f>(1-MIN(0,MIN(I227:I227)))</f>
        <v/>
      </c>
      <c r="J302" s="267">
        <f>(1-MIN(0,MIN(J227:J227)))</f>
        <v/>
      </c>
      <c r="K302" s="267">
        <f>(1-MIN(0,MIN(K227:K227)))</f>
        <v/>
      </c>
      <c r="L302" s="267">
        <f>(1-MIN(0,MIN(L227:L227)))</f>
        <v/>
      </c>
      <c r="M302" s="267">
        <f>(1-MIN(0,MIN(M227:M227)))</f>
        <v/>
      </c>
      <c r="N302" s="267">
        <f>(1-MIN(0,MIN(N227:N227)))</f>
        <v/>
      </c>
      <c r="O302" s="267">
        <f>(1-MIN(0,MIN(O227:O227)))</f>
        <v/>
      </c>
      <c r="P302" s="267">
        <f>(1-MIN(0,MIN(P227:P227)))</f>
        <v/>
      </c>
      <c r="Q302" s="267">
        <f>(1-MIN(0,MIN(Q227:Q227)))</f>
        <v/>
      </c>
      <c r="R302" s="267">
        <f>(1-MIN(0,MIN(R227:R227)))</f>
        <v/>
      </c>
      <c r="S302" s="267">
        <f>(1-MIN(0,MIN(S227:S227)))</f>
        <v/>
      </c>
      <c r="T302" s="267">
        <f>(1-MIN(0,MIN(T227:T227)))</f>
        <v/>
      </c>
      <c r="U302" s="267">
        <f>(1-MIN(0,MIN(U227:U227)))</f>
        <v/>
      </c>
      <c r="V302" s="267">
        <f>(1-MIN(0,MIN(V227:V227)))</f>
        <v/>
      </c>
    </row>
    <row r="303" hidden="1" outlineLevel="1">
      <c r="A303" s="222" t="inlineStr">
        <is>
          <t xml:space="preserve">  Last Lifestyle</t>
        </is>
      </c>
      <c r="G303" s="267">
        <f>(1-MIN(0,MIN(G228:G228)))</f>
        <v/>
      </c>
      <c r="H303" s="267">
        <f>(1-MIN(0,MIN(H228:H228)))</f>
        <v/>
      </c>
      <c r="I303" s="267">
        <f>(1-MIN(0,MIN(I228:I228)))</f>
        <v/>
      </c>
      <c r="J303" s="267">
        <f>(1-MIN(0,MIN(J228:J228)))</f>
        <v/>
      </c>
      <c r="K303" s="267">
        <f>(1-MIN(0,MIN(K228:K228)))</f>
        <v/>
      </c>
      <c r="L303" s="267">
        <f>(1-MIN(0,MIN(L228:L228)))</f>
        <v/>
      </c>
      <c r="M303" s="267">
        <f>(1-MIN(0,MIN(M228:M228)))</f>
        <v/>
      </c>
      <c r="N303" s="267">
        <f>(1-MIN(0,MIN(N228:N228)))</f>
        <v/>
      </c>
      <c r="O303" s="267">
        <f>(1-MIN(0,MIN(O228:O228)))</f>
        <v/>
      </c>
      <c r="P303" s="267">
        <f>(1-MIN(0,MIN(P228:P228)))</f>
        <v/>
      </c>
      <c r="Q303" s="267">
        <f>(1-MIN(0,MIN(Q228:Q228)))</f>
        <v/>
      </c>
      <c r="R303" s="267">
        <f>(1-MIN(0,MIN(R228:R228)))</f>
        <v/>
      </c>
      <c r="S303" s="267">
        <f>(1-MIN(0,MIN(S228:S228)))</f>
        <v/>
      </c>
      <c r="T303" s="267">
        <f>(1-MIN(0,MIN(T228:T228)))</f>
        <v/>
      </c>
      <c r="U303" s="267">
        <f>(1-MIN(0,MIN(U228:U228)))</f>
        <v/>
      </c>
      <c r="V303" s="267">
        <f>(1-MIN(0,MIN(V228:V228)))</f>
        <v/>
      </c>
    </row>
    <row r="304" hidden="1" outlineLevel="1">
      <c r="A304" s="222" t="inlineStr">
        <is>
          <t xml:space="preserve">  Last Ernaehrung</t>
        </is>
      </c>
      <c r="G304" s="267">
        <f>(1-MIN(0,MIN(G229:G229)))</f>
        <v/>
      </c>
      <c r="H304" s="267">
        <f>(1-MIN(0,MIN(H229:H229)))</f>
        <v/>
      </c>
      <c r="I304" s="267">
        <f>(1-MIN(0,MIN(I229:I229)))</f>
        <v/>
      </c>
      <c r="J304" s="267">
        <f>(1-MIN(0,MIN(J229:J229)))</f>
        <v/>
      </c>
      <c r="K304" s="267">
        <f>(1-MIN(0,MIN(K229:K229)))</f>
        <v/>
      </c>
      <c r="L304" s="267">
        <f>(1-MIN(0,MIN(L229:L229)))</f>
        <v/>
      </c>
      <c r="M304" s="267">
        <f>(1-MIN(0,MIN(M229:M229)))</f>
        <v/>
      </c>
      <c r="N304" s="267">
        <f>(1-MIN(0,MIN(N229:N229)))</f>
        <v/>
      </c>
      <c r="O304" s="267">
        <f>(1-MIN(0,MIN(O229:O229)))</f>
        <v/>
      </c>
      <c r="P304" s="267">
        <f>(1-MIN(0,MIN(P229:P229)))</f>
        <v/>
      </c>
      <c r="Q304" s="267">
        <f>(1-MIN(0,MIN(Q229:Q229)))</f>
        <v/>
      </c>
      <c r="R304" s="267">
        <f>(1-MIN(0,MIN(R229:R229)))</f>
        <v/>
      </c>
      <c r="S304" s="267">
        <f>(1-MIN(0,MIN(S229:S229)))</f>
        <v/>
      </c>
      <c r="T304" s="267">
        <f>(1-MIN(0,MIN(T229:T229)))</f>
        <v/>
      </c>
      <c r="U304" s="267">
        <f>(1-MIN(0,MIN(U229:U229)))</f>
        <v/>
      </c>
      <c r="V304" s="267">
        <f>(1-MIN(0,MIN(V229:V229)))</f>
        <v/>
      </c>
    </row>
    <row r="305" hidden="1" outlineLevel="1">
      <c r="A305" s="222" t="inlineStr">
        <is>
          <t xml:space="preserve">  Last Aromatasehemmer</t>
        </is>
      </c>
      <c r="G305" s="267">
        <f>(1-MIN(0,MIN(G230:G230)))</f>
        <v/>
      </c>
      <c r="H305" s="267">
        <f>(1-MIN(0,MIN(H230:H230)))</f>
        <v/>
      </c>
      <c r="I305" s="267">
        <f>(1-MIN(0,MIN(I230:I230)))</f>
        <v/>
      </c>
      <c r="J305" s="267">
        <f>(1-MIN(0,MIN(J230:J230)))</f>
        <v/>
      </c>
      <c r="K305" s="267">
        <f>(1-MIN(0,MIN(K230:K230)))</f>
        <v/>
      </c>
      <c r="L305" s="267">
        <f>(1-MIN(0,MIN(L230:L230)))</f>
        <v/>
      </c>
      <c r="M305" s="267">
        <f>(1-MIN(0,MIN(M230:M230)))</f>
        <v/>
      </c>
      <c r="N305" s="267">
        <f>(1-MIN(0,MIN(N230:N230)))</f>
        <v/>
      </c>
      <c r="O305" s="267">
        <f>(1-MIN(0,MIN(O230:O230)))</f>
        <v/>
      </c>
      <c r="P305" s="267">
        <f>(1-MIN(0,MIN(P230:P230)))</f>
        <v/>
      </c>
      <c r="Q305" s="267">
        <f>(1-MIN(0,MIN(Q230:Q230)))</f>
        <v/>
      </c>
      <c r="R305" s="267">
        <f>(1-MIN(0,MIN(R230:R230)))</f>
        <v/>
      </c>
      <c r="S305" s="267">
        <f>(1-MIN(0,MIN(S230:S230)))</f>
        <v/>
      </c>
      <c r="T305" s="267">
        <f>(1-MIN(0,MIN(T230:T230)))</f>
        <v/>
      </c>
      <c r="U305" s="267">
        <f>(1-MIN(0,MIN(U230:U230)))</f>
        <v/>
      </c>
      <c r="V305" s="267">
        <f>(1-MIN(0,MIN(V230:V230)))</f>
        <v/>
      </c>
    </row>
    <row r="306" hidden="1" outlineLevel="1">
      <c r="A306" s="222" t="inlineStr">
        <is>
          <t xml:space="preserve">  Last 5AR-Hemmer</t>
        </is>
      </c>
      <c r="G306" s="267">
        <f>(1-MIN(0,MIN(G231:G231)))</f>
        <v/>
      </c>
      <c r="H306" s="267">
        <f>(1-MIN(0,MIN(H231:H231)))</f>
        <v/>
      </c>
      <c r="I306" s="267">
        <f>(1-MIN(0,MIN(I231:I231)))</f>
        <v/>
      </c>
      <c r="J306" s="267">
        <f>(1-MIN(0,MIN(J231:J231)))</f>
        <v/>
      </c>
      <c r="K306" s="267">
        <f>(1-MIN(0,MIN(K231:K231)))</f>
        <v/>
      </c>
      <c r="L306" s="267">
        <f>(1-MIN(0,MIN(L231:L231)))</f>
        <v/>
      </c>
      <c r="M306" s="267">
        <f>(1-MIN(0,MIN(M231:M231)))</f>
        <v/>
      </c>
      <c r="N306" s="267">
        <f>(1-MIN(0,MIN(N231:N231)))</f>
        <v/>
      </c>
      <c r="O306" s="267">
        <f>(1-MIN(0,MIN(O231:O231)))</f>
        <v/>
      </c>
      <c r="P306" s="267">
        <f>(1-MIN(0,MIN(P231:P231)))</f>
        <v/>
      </c>
      <c r="Q306" s="267">
        <f>(1-MIN(0,MIN(Q231:Q231)))</f>
        <v/>
      </c>
      <c r="R306" s="267">
        <f>(1-MIN(0,MIN(R231:R231)))</f>
        <v/>
      </c>
      <c r="S306" s="267">
        <f>(1-MIN(0,MIN(S231:S231)))</f>
        <v/>
      </c>
      <c r="T306" s="267">
        <f>(1-MIN(0,MIN(T231:T231)))</f>
        <v/>
      </c>
      <c r="U306" s="267">
        <f>(1-MIN(0,MIN(U231:U231)))</f>
        <v/>
      </c>
      <c r="V306" s="267">
        <f>(1-MIN(0,MIN(V231:V231)))</f>
        <v/>
      </c>
    </row>
    <row r="307" hidden="1" outlineLevel="1">
      <c r="A307" s="222" t="inlineStr">
        <is>
          <t xml:space="preserve">  Last Thrombozytenhemmer</t>
        </is>
      </c>
      <c r="G307" s="267">
        <f>(1-MIN(0,MIN(G232:G232)))</f>
        <v/>
      </c>
      <c r="H307" s="267">
        <f>(1-MIN(0,MIN(H232:H232)))</f>
        <v/>
      </c>
      <c r="I307" s="267">
        <f>(1-MIN(0,MIN(I232:I232)))</f>
        <v/>
      </c>
      <c r="J307" s="267">
        <f>(1-MIN(0,MIN(J232:J232)))</f>
        <v/>
      </c>
      <c r="K307" s="267">
        <f>(1-MIN(0,MIN(K232:K232)))</f>
        <v/>
      </c>
      <c r="L307" s="267">
        <f>(1-MIN(0,MIN(L232:L232)))</f>
        <v/>
      </c>
      <c r="M307" s="267">
        <f>(1-MIN(0,MIN(M232:M232)))</f>
        <v/>
      </c>
      <c r="N307" s="267">
        <f>(1-MIN(0,MIN(N232:N232)))</f>
        <v/>
      </c>
      <c r="O307" s="267">
        <f>(1-MIN(0,MIN(O232:O232)))</f>
        <v/>
      </c>
      <c r="P307" s="267">
        <f>(1-MIN(0,MIN(P232:P232)))</f>
        <v/>
      </c>
      <c r="Q307" s="267">
        <f>(1-MIN(0,MIN(Q232:Q232)))</f>
        <v/>
      </c>
      <c r="R307" s="267">
        <f>(1-MIN(0,MIN(R232:R232)))</f>
        <v/>
      </c>
      <c r="S307" s="267">
        <f>(1-MIN(0,MIN(S232:S232)))</f>
        <v/>
      </c>
      <c r="T307" s="267">
        <f>(1-MIN(0,MIN(T232:T232)))</f>
        <v/>
      </c>
      <c r="U307" s="267">
        <f>(1-MIN(0,MIN(U232:U232)))</f>
        <v/>
      </c>
      <c r="V307" s="267">
        <f>(1-MIN(0,MIN(V232:V232)))</f>
        <v/>
      </c>
    </row>
    <row r="308" hidden="1" outlineLevel="1">
      <c r="A308" s="222" t="inlineStr">
        <is>
          <t xml:space="preserve">  Last Prolaktin</t>
        </is>
      </c>
      <c r="G308" s="267">
        <f>(1-MIN(0,MIN(G233:G233)))</f>
        <v/>
      </c>
      <c r="H308" s="267">
        <f>(1-MIN(0,MIN(H233:H233)))</f>
        <v/>
      </c>
      <c r="I308" s="267">
        <f>(1-MIN(0,MIN(I233:I233)))</f>
        <v/>
      </c>
      <c r="J308" s="267">
        <f>(1-MIN(0,MIN(J233:J233)))</f>
        <v/>
      </c>
      <c r="K308" s="267">
        <f>(1-MIN(0,MIN(K233:K233)))</f>
        <v/>
      </c>
      <c r="L308" s="267">
        <f>(1-MIN(0,MIN(L233:L233)))</f>
        <v/>
      </c>
      <c r="M308" s="267">
        <f>(1-MIN(0,MIN(M233:M233)))</f>
        <v/>
      </c>
      <c r="N308" s="267">
        <f>(1-MIN(0,MIN(N233:N233)))</f>
        <v/>
      </c>
      <c r="O308" s="267">
        <f>(1-MIN(0,MIN(O233:O233)))</f>
        <v/>
      </c>
      <c r="P308" s="267">
        <f>(1-MIN(0,MIN(P233:P233)))</f>
        <v/>
      </c>
      <c r="Q308" s="267">
        <f>(1-MIN(0,MIN(Q233:Q233)))</f>
        <v/>
      </c>
      <c r="R308" s="267">
        <f>(1-MIN(0,MIN(R233:R233)))</f>
        <v/>
      </c>
      <c r="S308" s="267">
        <f>(1-MIN(0,MIN(S233:S233)))</f>
        <v/>
      </c>
      <c r="T308" s="267">
        <f>(1-MIN(0,MIN(T233:T233)))</f>
        <v/>
      </c>
      <c r="U308" s="267">
        <f>(1-MIN(0,MIN(U233:U233)))</f>
        <v/>
      </c>
      <c r="V308" s="267">
        <f>(1-MIN(0,MIN(V233:V233)))</f>
        <v/>
      </c>
    </row>
    <row r="309" hidden="1" outlineLevel="1">
      <c r="A309" s="222" t="inlineStr">
        <is>
          <t xml:space="preserve">  Last SERM</t>
        </is>
      </c>
      <c r="G309" s="267">
        <f>(1-MIN(0,MIN(G234:G234)))</f>
        <v/>
      </c>
      <c r="H309" s="267">
        <f>(1-MIN(0,MIN(H234:H234)))</f>
        <v/>
      </c>
      <c r="I309" s="267">
        <f>(1-MIN(0,MIN(I234:I234)))</f>
        <v/>
      </c>
      <c r="J309" s="267">
        <f>(1-MIN(0,MIN(J234:J234)))</f>
        <v/>
      </c>
      <c r="K309" s="267">
        <f>(1-MIN(0,MIN(K234:K234)))</f>
        <v/>
      </c>
      <c r="L309" s="267">
        <f>(1-MIN(0,MIN(L234:L234)))</f>
        <v/>
      </c>
      <c r="M309" s="267">
        <f>(1-MIN(0,MIN(M234:M234)))</f>
        <v/>
      </c>
      <c r="N309" s="267">
        <f>(1-MIN(0,MIN(N234:N234)))</f>
        <v/>
      </c>
      <c r="O309" s="267">
        <f>(1-MIN(0,MIN(O234:O234)))</f>
        <v/>
      </c>
      <c r="P309" s="267">
        <f>(1-MIN(0,MIN(P234:P234)))</f>
        <v/>
      </c>
      <c r="Q309" s="267">
        <f>(1-MIN(0,MIN(Q234:Q234)))</f>
        <v/>
      </c>
      <c r="R309" s="267">
        <f>(1-MIN(0,MIN(R234:R234)))</f>
        <v/>
      </c>
      <c r="S309" s="267">
        <f>(1-MIN(0,MIN(S234:S234)))</f>
        <v/>
      </c>
      <c r="T309" s="267">
        <f>(1-MIN(0,MIN(T234:T234)))</f>
        <v/>
      </c>
      <c r="U309" s="267">
        <f>(1-MIN(0,MIN(U234:U234)))</f>
        <v/>
      </c>
      <c r="V309" s="267">
        <f>(1-MIN(0,MIN(V234:V234)))</f>
        <v/>
      </c>
    </row>
    <row r="310" hidden="1" outlineLevel="1">
      <c r="A310" s="222" t="inlineStr">
        <is>
          <t xml:space="preserve">  Last Basis</t>
        </is>
      </c>
      <c r="G310" s="267">
        <f>(1-MIN(0,MIN(G235:G235)))</f>
        <v/>
      </c>
      <c r="H310" s="267">
        <f>(1-MIN(0,MIN(H235:H235)))</f>
        <v/>
      </c>
      <c r="I310" s="267">
        <f>(1-MIN(0,MIN(I235:I235)))</f>
        <v/>
      </c>
      <c r="J310" s="267">
        <f>(1-MIN(0,MIN(J235:J235)))</f>
        <v/>
      </c>
      <c r="K310" s="267">
        <f>(1-MIN(0,MIN(K235:K235)))</f>
        <v/>
      </c>
      <c r="L310" s="267">
        <f>(1-MIN(0,MIN(L235:L235)))</f>
        <v/>
      </c>
      <c r="M310" s="267">
        <f>(1-MIN(0,MIN(M235:M235)))</f>
        <v/>
      </c>
      <c r="N310" s="267">
        <f>(1-MIN(0,MIN(N235:N235)))</f>
        <v/>
      </c>
      <c r="O310" s="267">
        <f>(1-MIN(0,MIN(O235:O235)))</f>
        <v/>
      </c>
      <c r="P310" s="267">
        <f>(1-MIN(0,MIN(P235:P235)))</f>
        <v/>
      </c>
      <c r="Q310" s="267">
        <f>(1-MIN(0,MIN(Q235:Q235)))</f>
        <v/>
      </c>
      <c r="R310" s="267">
        <f>(1-MIN(0,MIN(R235:R235)))</f>
        <v/>
      </c>
      <c r="S310" s="267">
        <f>(1-MIN(0,MIN(S235:S235)))</f>
        <v/>
      </c>
      <c r="T310" s="267">
        <f>(1-MIN(0,MIN(T235:T235)))</f>
        <v/>
      </c>
      <c r="U310" s="267">
        <f>(1-MIN(0,MIN(U235:U235)))</f>
        <v/>
      </c>
      <c r="V310" s="267">
        <f>(1-MIN(0,MIN(V235:V235)))</f>
        <v/>
      </c>
    </row>
    <row r="311" hidden="1" outlineLevel="1">
      <c r="A311" s="222" t="inlineStr">
        <is>
          <t xml:space="preserve">  Last 19-Nor</t>
        </is>
      </c>
      <c r="G311" s="267">
        <f>(1-MIN(0,MIN(G236:G237)))</f>
        <v/>
      </c>
      <c r="H311" s="267">
        <f>(1-MIN(0,MIN(H236:H237)))</f>
        <v/>
      </c>
      <c r="I311" s="267">
        <f>(1-MIN(0,MIN(I236:I237)))</f>
        <v/>
      </c>
      <c r="J311" s="267">
        <f>(1-MIN(0,MIN(J236:J237)))</f>
        <v/>
      </c>
      <c r="K311" s="267">
        <f>(1-MIN(0,MIN(K236:K237)))</f>
        <v/>
      </c>
      <c r="L311" s="267">
        <f>(1-MIN(0,MIN(L236:L237)))</f>
        <v/>
      </c>
      <c r="M311" s="267">
        <f>(1-MIN(0,MIN(M236:M237)))</f>
        <v/>
      </c>
      <c r="N311" s="267">
        <f>(1-MIN(0,MIN(N236:N237)))</f>
        <v/>
      </c>
      <c r="O311" s="267">
        <f>(1-MIN(0,MIN(O236:O237)))</f>
        <v/>
      </c>
      <c r="P311" s="267">
        <f>(1-MIN(0,MIN(P236:P237)))</f>
        <v/>
      </c>
      <c r="Q311" s="267">
        <f>(1-MIN(0,MIN(Q236:Q237)))</f>
        <v/>
      </c>
      <c r="R311" s="267">
        <f>(1-MIN(0,MIN(R236:R237)))</f>
        <v/>
      </c>
      <c r="S311" s="267">
        <f>(1-MIN(0,MIN(S236:S237)))</f>
        <v/>
      </c>
      <c r="T311" s="267">
        <f>(1-MIN(0,MIN(T236:T237)))</f>
        <v/>
      </c>
      <c r="U311" s="267">
        <f>(1-MIN(0,MIN(U236:U237)))</f>
        <v/>
      </c>
      <c r="V311" s="267">
        <f>(1-MIN(0,MIN(V236:V237)))</f>
        <v/>
      </c>
    </row>
    <row r="312" hidden="1" outlineLevel="1">
      <c r="A312" s="222" t="inlineStr">
        <is>
          <t xml:space="preserve">  Last Sonstige AAS</t>
        </is>
      </c>
      <c r="G312" s="267">
        <f>(1-MIN(0,MIN(G238:G238)))</f>
        <v/>
      </c>
      <c r="H312" s="267">
        <f>(1-MIN(0,MIN(H238:H238)))</f>
        <v/>
      </c>
      <c r="I312" s="267">
        <f>(1-MIN(0,MIN(I238:I238)))</f>
        <v/>
      </c>
      <c r="J312" s="267">
        <f>(1-MIN(0,MIN(J238:J238)))</f>
        <v/>
      </c>
      <c r="K312" s="267">
        <f>(1-MIN(0,MIN(K238:K238)))</f>
        <v/>
      </c>
      <c r="L312" s="267">
        <f>(1-MIN(0,MIN(L238:L238)))</f>
        <v/>
      </c>
      <c r="M312" s="267">
        <f>(1-MIN(0,MIN(M238:M238)))</f>
        <v/>
      </c>
      <c r="N312" s="267">
        <f>(1-MIN(0,MIN(N238:N238)))</f>
        <v/>
      </c>
      <c r="O312" s="267">
        <f>(1-MIN(0,MIN(O238:O238)))</f>
        <v/>
      </c>
      <c r="P312" s="267">
        <f>(1-MIN(0,MIN(P238:P238)))</f>
        <v/>
      </c>
      <c r="Q312" s="267">
        <f>(1-MIN(0,MIN(Q238:Q238)))</f>
        <v/>
      </c>
      <c r="R312" s="267">
        <f>(1-MIN(0,MIN(R238:R238)))</f>
        <v/>
      </c>
      <c r="S312" s="267">
        <f>(1-MIN(0,MIN(S238:S238)))</f>
        <v/>
      </c>
      <c r="T312" s="267">
        <f>(1-MIN(0,MIN(T238:T238)))</f>
        <v/>
      </c>
      <c r="U312" s="267">
        <f>(1-MIN(0,MIN(U238:U238)))</f>
        <v/>
      </c>
      <c r="V312" s="267">
        <f>(1-MIN(0,MIN(V238:V238)))</f>
        <v/>
      </c>
    </row>
    <row r="313" hidden="1" outlineLevel="1">
      <c r="A313" s="222" t="inlineStr">
        <is>
          <t xml:space="preserve">  Last DHT-Derivat</t>
        </is>
      </c>
      <c r="G313" s="267">
        <f>(1-MIN(0,MIN(G239:G240)))</f>
        <v/>
      </c>
      <c r="H313" s="267">
        <f>(1-MIN(0,MIN(H239:H240)))</f>
        <v/>
      </c>
      <c r="I313" s="267">
        <f>(1-MIN(0,MIN(I239:I240)))</f>
        <v/>
      </c>
      <c r="J313" s="267">
        <f>(1-MIN(0,MIN(J239:J240)))</f>
        <v/>
      </c>
      <c r="K313" s="267">
        <f>(1-MIN(0,MIN(K239:K240)))</f>
        <v/>
      </c>
      <c r="L313" s="267">
        <f>(1-MIN(0,MIN(L239:L240)))</f>
        <v/>
      </c>
      <c r="M313" s="267">
        <f>(1-MIN(0,MIN(M239:M240)))</f>
        <v/>
      </c>
      <c r="N313" s="267">
        <f>(1-MIN(0,MIN(N239:N240)))</f>
        <v/>
      </c>
      <c r="O313" s="267">
        <f>(1-MIN(0,MIN(O239:O240)))</f>
        <v/>
      </c>
      <c r="P313" s="267">
        <f>(1-MIN(0,MIN(P239:P240)))</f>
        <v/>
      </c>
      <c r="Q313" s="267">
        <f>(1-MIN(0,MIN(Q239:Q240)))</f>
        <v/>
      </c>
      <c r="R313" s="267">
        <f>(1-MIN(0,MIN(R239:R240)))</f>
        <v/>
      </c>
      <c r="S313" s="267">
        <f>(1-MIN(0,MIN(S239:S240)))</f>
        <v/>
      </c>
      <c r="T313" s="267">
        <f>(1-MIN(0,MIN(T239:T240)))</f>
        <v/>
      </c>
      <c r="U313" s="267">
        <f>(1-MIN(0,MIN(U239:U240)))</f>
        <v/>
      </c>
      <c r="V313" s="267">
        <f>(1-MIN(0,MIN(V239:V240)))</f>
        <v/>
      </c>
    </row>
    <row r="314" hidden="1" outlineLevel="1">
      <c r="A314" s="222" t="inlineStr">
        <is>
          <t xml:space="preserve">  Last Oral 17-aa</t>
        </is>
      </c>
      <c r="G314" s="267">
        <f>(1-MIN(0,MIN(G241:G245)))</f>
        <v/>
      </c>
      <c r="H314" s="267">
        <f>(1-MIN(0,MIN(H241:H245)))</f>
        <v/>
      </c>
      <c r="I314" s="267">
        <f>(1-MIN(0,MIN(I241:I245)))</f>
        <v/>
      </c>
      <c r="J314" s="267">
        <f>(1-MIN(0,MIN(J241:J245)))</f>
        <v/>
      </c>
      <c r="K314" s="267">
        <f>(1-MIN(0,MIN(K241:K245)))</f>
        <v/>
      </c>
      <c r="L314" s="267">
        <f>(1-MIN(0,MIN(L241:L245)))</f>
        <v/>
      </c>
      <c r="M314" s="267">
        <f>(1-MIN(0,MIN(M241:M245)))</f>
        <v/>
      </c>
      <c r="N314" s="267">
        <f>(1-MIN(0,MIN(N241:N245)))</f>
        <v/>
      </c>
      <c r="O314" s="267">
        <f>(1-MIN(0,MIN(O241:O245)))</f>
        <v/>
      </c>
      <c r="P314" s="267">
        <f>(1-MIN(0,MIN(P241:P245)))</f>
        <v/>
      </c>
      <c r="Q314" s="267">
        <f>(1-MIN(0,MIN(Q241:Q245)))</f>
        <v/>
      </c>
      <c r="R314" s="267">
        <f>(1-MIN(0,MIN(R241:R245)))</f>
        <v/>
      </c>
      <c r="S314" s="267">
        <f>(1-MIN(0,MIN(S241:S245)))</f>
        <v/>
      </c>
      <c r="T314" s="267">
        <f>(1-MIN(0,MIN(T241:T245)))</f>
        <v/>
      </c>
      <c r="U314" s="267">
        <f>(1-MIN(0,MIN(U241:U245)))</f>
        <v/>
      </c>
      <c r="V314" s="267">
        <f>(1-MIN(0,MIN(V241:V245)))</f>
        <v/>
      </c>
    </row>
    <row r="315" hidden="1" outlineLevel="1">
      <c r="A315" s="222" t="inlineStr">
        <is>
          <t xml:space="preserve">  Last SARM</t>
        </is>
      </c>
      <c r="G315" s="267">
        <f>(1-MIN(0,MIN(G246:G246)))</f>
        <v/>
      </c>
      <c r="H315" s="267">
        <f>(1-MIN(0,MIN(H246:H246)))</f>
        <v/>
      </c>
      <c r="I315" s="267">
        <f>(1-MIN(0,MIN(I246:I246)))</f>
        <v/>
      </c>
      <c r="J315" s="267">
        <f>(1-MIN(0,MIN(J246:J246)))</f>
        <v/>
      </c>
      <c r="K315" s="267">
        <f>(1-MIN(0,MIN(K246:K246)))</f>
        <v/>
      </c>
      <c r="L315" s="267">
        <f>(1-MIN(0,MIN(L246:L246)))</f>
        <v/>
      </c>
      <c r="M315" s="267">
        <f>(1-MIN(0,MIN(M246:M246)))</f>
        <v/>
      </c>
      <c r="N315" s="267">
        <f>(1-MIN(0,MIN(N246:N246)))</f>
        <v/>
      </c>
      <c r="O315" s="267">
        <f>(1-MIN(0,MIN(O246:O246)))</f>
        <v/>
      </c>
      <c r="P315" s="267">
        <f>(1-MIN(0,MIN(P246:P246)))</f>
        <v/>
      </c>
      <c r="Q315" s="267">
        <f>(1-MIN(0,MIN(Q246:Q246)))</f>
        <v/>
      </c>
      <c r="R315" s="267">
        <f>(1-MIN(0,MIN(R246:R246)))</f>
        <v/>
      </c>
      <c r="S315" s="267">
        <f>(1-MIN(0,MIN(S246:S246)))</f>
        <v/>
      </c>
      <c r="T315" s="267">
        <f>(1-MIN(0,MIN(T246:T246)))</f>
        <v/>
      </c>
      <c r="U315" s="267">
        <f>(1-MIN(0,MIN(U246:U246)))</f>
        <v/>
      </c>
      <c r="V315" s="267">
        <f>(1-MIN(0,MIN(V246:V246)))</f>
        <v/>
      </c>
    </row>
    <row r="316" hidden="1" outlineLevel="1">
      <c r="A316" s="222" t="inlineStr">
        <is>
          <t xml:space="preserve">  Last Peptidhormon</t>
        </is>
      </c>
      <c r="G316" s="267">
        <f>(1-MIN(0,MIN(G247:G247)))</f>
        <v/>
      </c>
      <c r="H316" s="267">
        <f>(1-MIN(0,MIN(H247:H247)))</f>
        <v/>
      </c>
      <c r="I316" s="267">
        <f>(1-MIN(0,MIN(I247:I247)))</f>
        <v/>
      </c>
      <c r="J316" s="267">
        <f>(1-MIN(0,MIN(J247:J247)))</f>
        <v/>
      </c>
      <c r="K316" s="267">
        <f>(1-MIN(0,MIN(K247:K247)))</f>
        <v/>
      </c>
      <c r="L316" s="267">
        <f>(1-MIN(0,MIN(L247:L247)))</f>
        <v/>
      </c>
      <c r="M316" s="267">
        <f>(1-MIN(0,MIN(M247:M247)))</f>
        <v/>
      </c>
      <c r="N316" s="267">
        <f>(1-MIN(0,MIN(N247:N247)))</f>
        <v/>
      </c>
      <c r="O316" s="267">
        <f>(1-MIN(0,MIN(O247:O247)))</f>
        <v/>
      </c>
      <c r="P316" s="267">
        <f>(1-MIN(0,MIN(P247:P247)))</f>
        <v/>
      </c>
      <c r="Q316" s="267">
        <f>(1-MIN(0,MIN(Q247:Q247)))</f>
        <v/>
      </c>
      <c r="R316" s="267">
        <f>(1-MIN(0,MIN(R247:R247)))</f>
        <v/>
      </c>
      <c r="S316" s="267">
        <f>(1-MIN(0,MIN(S247:S247)))</f>
        <v/>
      </c>
      <c r="T316" s="267">
        <f>(1-MIN(0,MIN(T247:T247)))</f>
        <v/>
      </c>
      <c r="U316" s="267">
        <f>(1-MIN(0,MIN(U247:U247)))</f>
        <v/>
      </c>
      <c r="V316" s="267">
        <f>(1-MIN(0,MIN(V247:V247)))</f>
        <v/>
      </c>
    </row>
    <row r="317" hidden="1" outlineLevel="1">
      <c r="A317" s="222" t="inlineStr">
        <is>
          <t xml:space="preserve">  Last Insulin</t>
        </is>
      </c>
      <c r="G317" s="267">
        <f>(1-MIN(0,MIN(G248:G248)))</f>
        <v/>
      </c>
      <c r="H317" s="267">
        <f>(1-MIN(0,MIN(H248:H248)))</f>
        <v/>
      </c>
      <c r="I317" s="267">
        <f>(1-MIN(0,MIN(I248:I248)))</f>
        <v/>
      </c>
      <c r="J317" s="267">
        <f>(1-MIN(0,MIN(J248:J248)))</f>
        <v/>
      </c>
      <c r="K317" s="267">
        <f>(1-MIN(0,MIN(K248:K248)))</f>
        <v/>
      </c>
      <c r="L317" s="267">
        <f>(1-MIN(0,MIN(L248:L248)))</f>
        <v/>
      </c>
      <c r="M317" s="267">
        <f>(1-MIN(0,MIN(M248:M248)))</f>
        <v/>
      </c>
      <c r="N317" s="267">
        <f>(1-MIN(0,MIN(N248:N248)))</f>
        <v/>
      </c>
      <c r="O317" s="267">
        <f>(1-MIN(0,MIN(O248:O248)))</f>
        <v/>
      </c>
      <c r="P317" s="267">
        <f>(1-MIN(0,MIN(P248:P248)))</f>
        <v/>
      </c>
      <c r="Q317" s="267">
        <f>(1-MIN(0,MIN(Q248:Q248)))</f>
        <v/>
      </c>
      <c r="R317" s="267">
        <f>(1-MIN(0,MIN(R248:R248)))</f>
        <v/>
      </c>
      <c r="S317" s="267">
        <f>(1-MIN(0,MIN(S248:S248)))</f>
        <v/>
      </c>
      <c r="T317" s="267">
        <f>(1-MIN(0,MIN(T248:T248)))</f>
        <v/>
      </c>
      <c r="U317" s="267">
        <f>(1-MIN(0,MIN(U248:U248)))</f>
        <v/>
      </c>
      <c r="V317" s="267">
        <f>(1-MIN(0,MIN(V248:V248)))</f>
        <v/>
      </c>
    </row>
    <row r="318" hidden="1" outlineLevel="1">
      <c r="A318" s="222" t="inlineStr">
        <is>
          <t xml:space="preserve">  Last Beta-2-Agonist</t>
        </is>
      </c>
      <c r="G318" s="267">
        <f>(1-MIN(0,MIN(G249:G249)))</f>
        <v/>
      </c>
      <c r="H318" s="267">
        <f>(1-MIN(0,MIN(H249:H249)))</f>
        <v/>
      </c>
      <c r="I318" s="267">
        <f>(1-MIN(0,MIN(I249:I249)))</f>
        <v/>
      </c>
      <c r="J318" s="267">
        <f>(1-MIN(0,MIN(J249:J249)))</f>
        <v/>
      </c>
      <c r="K318" s="267">
        <f>(1-MIN(0,MIN(K249:K249)))</f>
        <v/>
      </c>
      <c r="L318" s="267">
        <f>(1-MIN(0,MIN(L249:L249)))</f>
        <v/>
      </c>
      <c r="M318" s="267">
        <f>(1-MIN(0,MIN(M249:M249)))</f>
        <v/>
      </c>
      <c r="N318" s="267">
        <f>(1-MIN(0,MIN(N249:N249)))</f>
        <v/>
      </c>
      <c r="O318" s="267">
        <f>(1-MIN(0,MIN(O249:O249)))</f>
        <v/>
      </c>
      <c r="P318" s="267">
        <f>(1-MIN(0,MIN(P249:P249)))</f>
        <v/>
      </c>
      <c r="Q318" s="267">
        <f>(1-MIN(0,MIN(Q249:Q249)))</f>
        <v/>
      </c>
      <c r="R318" s="267">
        <f>(1-MIN(0,MIN(R249:R249)))</f>
        <v/>
      </c>
      <c r="S318" s="267">
        <f>(1-MIN(0,MIN(S249:S249)))</f>
        <v/>
      </c>
      <c r="T318" s="267">
        <f>(1-MIN(0,MIN(T249:T249)))</f>
        <v/>
      </c>
      <c r="U318" s="267">
        <f>(1-MIN(0,MIN(U249:U249)))</f>
        <v/>
      </c>
      <c r="V318" s="267">
        <f>(1-MIN(0,MIN(V249:V249)))</f>
        <v/>
      </c>
    </row>
    <row r="319" hidden="1" outlineLevel="1">
      <c r="A319" s="222" t="inlineStr">
        <is>
          <t xml:space="preserve">  Last Schilddruesenhormon</t>
        </is>
      </c>
      <c r="G319" s="267">
        <f>(1-MIN(0,MIN(G250:G250)))</f>
        <v/>
      </c>
      <c r="H319" s="267">
        <f>(1-MIN(0,MIN(H250:H250)))</f>
        <v/>
      </c>
      <c r="I319" s="267">
        <f>(1-MIN(0,MIN(I250:I250)))</f>
        <v/>
      </c>
      <c r="J319" s="267">
        <f>(1-MIN(0,MIN(J250:J250)))</f>
        <v/>
      </c>
      <c r="K319" s="267">
        <f>(1-MIN(0,MIN(K250:K250)))</f>
        <v/>
      </c>
      <c r="L319" s="267">
        <f>(1-MIN(0,MIN(L250:L250)))</f>
        <v/>
      </c>
      <c r="M319" s="267">
        <f>(1-MIN(0,MIN(M250:M250)))</f>
        <v/>
      </c>
      <c r="N319" s="267">
        <f>(1-MIN(0,MIN(N250:N250)))</f>
        <v/>
      </c>
      <c r="O319" s="267">
        <f>(1-MIN(0,MIN(O250:O250)))</f>
        <v/>
      </c>
      <c r="P319" s="267">
        <f>(1-MIN(0,MIN(P250:P250)))</f>
        <v/>
      </c>
      <c r="Q319" s="267">
        <f>(1-MIN(0,MIN(Q250:Q250)))</f>
        <v/>
      </c>
      <c r="R319" s="267">
        <f>(1-MIN(0,MIN(R250:R250)))</f>
        <v/>
      </c>
      <c r="S319" s="267">
        <f>(1-MIN(0,MIN(S250:S250)))</f>
        <v/>
      </c>
      <c r="T319" s="267">
        <f>(1-MIN(0,MIN(T250:T250)))</f>
        <v/>
      </c>
      <c r="U319" s="267">
        <f>(1-MIN(0,MIN(U250:U250)))</f>
        <v/>
      </c>
      <c r="V319" s="267">
        <f>(1-MIN(0,MIN(V250:V250)))</f>
        <v/>
      </c>
    </row>
    <row r="320" hidden="1" outlineLevel="1">
      <c r="A320" s="222" t="inlineStr">
        <is>
          <t xml:space="preserve">  Last Entkoppler</t>
        </is>
      </c>
      <c r="G320" s="267">
        <f>(1-MIN(0,MIN(G251:G251)))</f>
        <v/>
      </c>
      <c r="H320" s="267">
        <f>(1-MIN(0,MIN(H251:H251)))</f>
        <v/>
      </c>
      <c r="I320" s="267">
        <f>(1-MIN(0,MIN(I251:I251)))</f>
        <v/>
      </c>
      <c r="J320" s="267">
        <f>(1-MIN(0,MIN(J251:J251)))</f>
        <v/>
      </c>
      <c r="K320" s="267">
        <f>(1-MIN(0,MIN(K251:K251)))</f>
        <v/>
      </c>
      <c r="L320" s="267">
        <f>(1-MIN(0,MIN(L251:L251)))</f>
        <v/>
      </c>
      <c r="M320" s="267">
        <f>(1-MIN(0,MIN(M251:M251)))</f>
        <v/>
      </c>
      <c r="N320" s="267">
        <f>(1-MIN(0,MIN(N251:N251)))</f>
        <v/>
      </c>
      <c r="O320" s="267">
        <f>(1-MIN(0,MIN(O251:O251)))</f>
        <v/>
      </c>
      <c r="P320" s="267">
        <f>(1-MIN(0,MIN(P251:P251)))</f>
        <v/>
      </c>
      <c r="Q320" s="267">
        <f>(1-MIN(0,MIN(Q251:Q251)))</f>
        <v/>
      </c>
      <c r="R320" s="267">
        <f>(1-MIN(0,MIN(R251:R251)))</f>
        <v/>
      </c>
      <c r="S320" s="267">
        <f>(1-MIN(0,MIN(S251:S251)))</f>
        <v/>
      </c>
      <c r="T320" s="267">
        <f>(1-MIN(0,MIN(T251:T251)))</f>
        <v/>
      </c>
      <c r="U320" s="267">
        <f>(1-MIN(0,MIN(U251:U251)))</f>
        <v/>
      </c>
      <c r="V320" s="267">
        <f>(1-MIN(0,MIN(V251:V251)))</f>
        <v/>
      </c>
    </row>
    <row r="321" hidden="1" outlineLevel="1">
      <c r="A321" s="222" t="inlineStr">
        <is>
          <t xml:space="preserve">  Last Rauchen</t>
        </is>
      </c>
      <c r="G321" s="267">
        <f>(1-MIN(0,MIN(G252:G252)))</f>
        <v/>
      </c>
      <c r="H321" s="267">
        <f>(1-MIN(0,MIN(H252:H252)))</f>
        <v/>
      </c>
      <c r="I321" s="267">
        <f>(1-MIN(0,MIN(I252:I252)))</f>
        <v/>
      </c>
      <c r="J321" s="267">
        <f>(1-MIN(0,MIN(J252:J252)))</f>
        <v/>
      </c>
      <c r="K321" s="267">
        <f>(1-MIN(0,MIN(K252:K252)))</f>
        <v/>
      </c>
      <c r="L321" s="267">
        <f>(1-MIN(0,MIN(L252:L252)))</f>
        <v/>
      </c>
      <c r="M321" s="267">
        <f>(1-MIN(0,MIN(M252:M252)))</f>
        <v/>
      </c>
      <c r="N321" s="267">
        <f>(1-MIN(0,MIN(N252:N252)))</f>
        <v/>
      </c>
      <c r="O321" s="267">
        <f>(1-MIN(0,MIN(O252:O252)))</f>
        <v/>
      </c>
      <c r="P321" s="267">
        <f>(1-MIN(0,MIN(P252:P252)))</f>
        <v/>
      </c>
      <c r="Q321" s="267">
        <f>(1-MIN(0,MIN(Q252:Q252)))</f>
        <v/>
      </c>
      <c r="R321" s="267">
        <f>(1-MIN(0,MIN(R252:R252)))</f>
        <v/>
      </c>
      <c r="S321" s="267">
        <f>(1-MIN(0,MIN(S252:S252)))</f>
        <v/>
      </c>
      <c r="T321" s="267">
        <f>(1-MIN(0,MIN(T252:T252)))</f>
        <v/>
      </c>
      <c r="U321" s="267">
        <f>(1-MIN(0,MIN(U252:U252)))</f>
        <v/>
      </c>
      <c r="V321" s="267">
        <f>(1-MIN(0,MIN(V252:V252)))</f>
        <v/>
      </c>
    </row>
    <row r="322" hidden="1" outlineLevel="1">
      <c r="A322" s="222" t="inlineStr">
        <is>
          <t xml:space="preserve">  Last Alkohol</t>
        </is>
      </c>
      <c r="G322" s="267">
        <f>(1-MIN(0,MIN(G253:G253)))</f>
        <v/>
      </c>
      <c r="H322" s="267">
        <f>(1-MIN(0,MIN(H253:H253)))</f>
        <v/>
      </c>
      <c r="I322" s="267">
        <f>(1-MIN(0,MIN(I253:I253)))</f>
        <v/>
      </c>
      <c r="J322" s="267">
        <f>(1-MIN(0,MIN(J253:J253)))</f>
        <v/>
      </c>
      <c r="K322" s="267">
        <f>(1-MIN(0,MIN(K253:K253)))</f>
        <v/>
      </c>
      <c r="L322" s="267">
        <f>(1-MIN(0,MIN(L253:L253)))</f>
        <v/>
      </c>
      <c r="M322" s="267">
        <f>(1-MIN(0,MIN(M253:M253)))</f>
        <v/>
      </c>
      <c r="N322" s="267">
        <f>(1-MIN(0,MIN(N253:N253)))</f>
        <v/>
      </c>
      <c r="O322" s="267">
        <f>(1-MIN(0,MIN(O253:O253)))</f>
        <v/>
      </c>
      <c r="P322" s="267">
        <f>(1-MIN(0,MIN(P253:P253)))</f>
        <v/>
      </c>
      <c r="Q322" s="267">
        <f>(1-MIN(0,MIN(Q253:Q253)))</f>
        <v/>
      </c>
      <c r="R322" s="267">
        <f>(1-MIN(0,MIN(R253:R253)))</f>
        <v/>
      </c>
      <c r="S322" s="267">
        <f>(1-MIN(0,MIN(S253:S253)))</f>
        <v/>
      </c>
      <c r="T322" s="267">
        <f>(1-MIN(0,MIN(T253:T253)))</f>
        <v/>
      </c>
      <c r="U322" s="267">
        <f>(1-MIN(0,MIN(U253:U253)))</f>
        <v/>
      </c>
      <c r="V322" s="267">
        <f>(1-MIN(0,MIN(V253:V253)))</f>
        <v/>
      </c>
    </row>
    <row r="323" hidden="1" outlineLevel="1">
      <c r="A323" s="222" t="inlineStr">
        <is>
          <t xml:space="preserve">  Lastfaktor B) laeuft bereits plus geplant</t>
        </is>
      </c>
      <c r="G323" s="267">
        <f>PRODUCT(G289:G322)</f>
        <v/>
      </c>
      <c r="H323" s="267">
        <f>PRODUCT(H289:H322)</f>
        <v/>
      </c>
      <c r="I323" s="267">
        <f>PRODUCT(I289:I322)</f>
        <v/>
      </c>
      <c r="J323" s="267">
        <f>PRODUCT(J289:J322)</f>
        <v/>
      </c>
      <c r="K323" s="267">
        <f>PRODUCT(K289:K322)</f>
        <v/>
      </c>
      <c r="L323" s="267">
        <f>PRODUCT(L289:L322)</f>
        <v/>
      </c>
      <c r="M323" s="267">
        <f>PRODUCT(M289:M322)</f>
        <v/>
      </c>
      <c r="N323" s="267">
        <f>PRODUCT(N289:N322)</f>
        <v/>
      </c>
      <c r="O323" s="267">
        <f>PRODUCT(O289:O322)</f>
        <v/>
      </c>
      <c r="P323" s="267">
        <f>PRODUCT(P289:P322)</f>
        <v/>
      </c>
      <c r="Q323" s="267">
        <f>PRODUCT(Q289:Q322)</f>
        <v/>
      </c>
      <c r="R323" s="267">
        <f>PRODUCT(R289:R322)</f>
        <v/>
      </c>
      <c r="S323" s="267">
        <f>PRODUCT(S289:S322)</f>
        <v/>
      </c>
      <c r="T323" s="267">
        <f>PRODUCT(T289:T322)</f>
        <v/>
      </c>
      <c r="U323" s="267">
        <f>PRODUCT(U289:U322)</f>
        <v/>
      </c>
      <c r="V323" s="267">
        <f>PRODUCT(V289:V322)</f>
        <v/>
      </c>
    </row>
    <row r="324" hidden="1" outlineLevel="1"/>
    <row r="325" hidden="1" outlineLevel="1">
      <c r="A325" s="264" t="inlineStr">
        <is>
          <t>Index final jetzt</t>
        </is>
      </c>
      <c r="G325" s="265">
        <f>MIN(1,(1-(1-G95)^(G209^Parameter!$B$39))*G174)</f>
        <v/>
      </c>
      <c r="H325" s="265">
        <f>MIN(1,(1-(1-H95)^(H209^Parameter!$B$39))*H174)</f>
        <v/>
      </c>
      <c r="I325" s="265">
        <f>MIN(1,(1-(1-I95)^(I209^Parameter!$B$39))*I174)</f>
        <v/>
      </c>
      <c r="J325" s="265">
        <f>MIN(1,(1-(1-J95)^(J209^Parameter!$B$39))*J174)</f>
        <v/>
      </c>
      <c r="K325" s="265">
        <f>MIN(1,(1-(1-K95)^(K209^Parameter!$B$39))*K174)</f>
        <v/>
      </c>
      <c r="L325" s="265">
        <f>MIN(1,(1-(1-L95)^(L209^Parameter!$B$39))*L174)</f>
        <v/>
      </c>
      <c r="M325" s="265">
        <f>MIN(1,(1-(1-M95)^(M209^Parameter!$B$39))*M174)</f>
        <v/>
      </c>
      <c r="N325" s="265">
        <f>MIN(1,(1-(1-N95)^(N209^Parameter!$B$39))*N174)</f>
        <v/>
      </c>
      <c r="O325" s="265">
        <f>MIN(1,(1-(1-O95)^(O209^Parameter!$B$39))*O174)</f>
        <v/>
      </c>
      <c r="P325" s="265">
        <f>MIN(1,(1-(1-P95)^(P209^Parameter!$B$39))*P174)</f>
        <v/>
      </c>
      <c r="Q325" s="265">
        <f>MIN(1,(1-(1-Q95)^(Q209^Parameter!$B$39))*Q174)</f>
        <v/>
      </c>
      <c r="R325" s="265">
        <f>MIN(1,(1-(1-R95)^(R209^Parameter!$B$39))*R174)</f>
        <v/>
      </c>
      <c r="S325" s="265">
        <f>MIN(1,(1-(1-S95)^(S209^Parameter!$B$39))*S174)</f>
        <v/>
      </c>
      <c r="T325" s="265">
        <f>MIN(1,(1-(1-T95)^(T209^Parameter!$B$39))*T174)</f>
        <v/>
      </c>
      <c r="U325" s="265">
        <f>MIN(1,(1-(1-U95)^(U209^Parameter!$B$39))*U174)</f>
        <v/>
      </c>
      <c r="V325" s="265">
        <f>MIN(1,(1-(1-V95)^(V209^Parameter!$B$39))*V174)</f>
        <v/>
      </c>
    </row>
    <row r="326" hidden="1" outlineLevel="1">
      <c r="A326" s="264" t="inlineStr">
        <is>
          <t>Index final nach Massnahmen</t>
        </is>
      </c>
      <c r="G326" s="265">
        <f>MIN(1,(1-(1-G95)^(G323^Parameter!$B$39))*G288)</f>
        <v/>
      </c>
      <c r="H326" s="265">
        <f>MIN(1,(1-(1-H95)^(H323^Parameter!$B$39))*H288)</f>
        <v/>
      </c>
      <c r="I326" s="265">
        <f>MIN(1,(1-(1-I95)^(I323^Parameter!$B$39))*I288)</f>
        <v/>
      </c>
      <c r="J326" s="265">
        <f>MIN(1,(1-(1-J95)^(J323^Parameter!$B$39))*J288)</f>
        <v/>
      </c>
      <c r="K326" s="265">
        <f>MIN(1,(1-(1-K95)^(K323^Parameter!$B$39))*K288)</f>
        <v/>
      </c>
      <c r="L326" s="265">
        <f>MIN(1,(1-(1-L95)^(L323^Parameter!$B$39))*L288)</f>
        <v/>
      </c>
      <c r="M326" s="265">
        <f>MIN(1,(1-(1-M95)^(M323^Parameter!$B$39))*M288)</f>
        <v/>
      </c>
      <c r="N326" s="265">
        <f>MIN(1,(1-(1-N95)^(N323^Parameter!$B$39))*N288)</f>
        <v/>
      </c>
      <c r="O326" s="265">
        <f>MIN(1,(1-(1-O95)^(O323^Parameter!$B$39))*O288)</f>
        <v/>
      </c>
      <c r="P326" s="265">
        <f>MIN(1,(1-(1-P95)^(P323^Parameter!$B$39))*P288)</f>
        <v/>
      </c>
      <c r="Q326" s="265">
        <f>MIN(1,(1-(1-Q95)^(Q323^Parameter!$B$39))*Q288)</f>
        <v/>
      </c>
      <c r="R326" s="265">
        <f>MIN(1,(1-(1-R95)^(R323^Parameter!$B$39))*R288)</f>
        <v/>
      </c>
      <c r="S326" s="265">
        <f>MIN(1,(1-(1-S95)^(S323^Parameter!$B$39))*S288)</f>
        <v/>
      </c>
      <c r="T326" s="265">
        <f>MIN(1,(1-(1-T95)^(T323^Parameter!$B$39))*T288)</f>
        <v/>
      </c>
      <c r="U326" s="265">
        <f>MIN(1,(1-(1-U95)^(U323^Parameter!$B$39))*U288)</f>
        <v/>
      </c>
      <c r="V326" s="265">
        <f>MIN(1,(1-(1-V95)^(V323^Parameter!$B$39))*V288)</f>
        <v/>
      </c>
    </row>
    <row r="327" hidden="1" outlineLevel="1">
      <c r="A327" s="264" t="inlineStr">
        <is>
          <t>Gefahr jetzt</t>
        </is>
      </c>
      <c r="G327" s="265">
        <f>G84/100*((Parameter!$B$36/100/MAX(Parameter!$B$37,1-G325))^Parameter!$B$38)^Parameter!$B$40</f>
        <v/>
      </c>
      <c r="H327" s="265">
        <f>H84/100*((Parameter!$B$36/100/MAX(Parameter!$B$37,1-H325))^Parameter!$B$38)^Parameter!$B$40</f>
        <v/>
      </c>
      <c r="I327" s="265">
        <f>I84/100*((Parameter!$B$36/100/MAX(Parameter!$B$37,1-I325))^Parameter!$B$38)^Parameter!$B$40</f>
        <v/>
      </c>
      <c r="J327" s="265">
        <f>J84/100*((Parameter!$B$36/100/MAX(Parameter!$B$37,1-J325))^Parameter!$B$38)^Parameter!$B$40</f>
        <v/>
      </c>
      <c r="K327" s="265">
        <f>K84/100*((Parameter!$B$36/100/MAX(Parameter!$B$37,1-K325))^Parameter!$B$38)^Parameter!$B$40</f>
        <v/>
      </c>
      <c r="L327" s="265">
        <f>L84/100*((Parameter!$B$36/100/MAX(Parameter!$B$37,1-L325))^Parameter!$B$38)^Parameter!$B$40</f>
        <v/>
      </c>
      <c r="M327" s="265">
        <f>M84/100*((Parameter!$B$36/100/MAX(Parameter!$B$37,1-M325))^Parameter!$B$38)^Parameter!$B$40</f>
        <v/>
      </c>
      <c r="N327" s="265">
        <f>N84/100*((Parameter!$B$36/100/MAX(Parameter!$B$37,1-N325))^Parameter!$B$38)^Parameter!$B$40</f>
        <v/>
      </c>
      <c r="O327" s="265">
        <f>O84/100*((Parameter!$B$36/100/MAX(Parameter!$B$37,1-O325))^Parameter!$B$38)^Parameter!$B$40</f>
        <v/>
      </c>
      <c r="P327" s="265">
        <f>P84/100*((Parameter!$B$36/100/MAX(Parameter!$B$37,1-P325))^Parameter!$B$38)^Parameter!$B$40</f>
        <v/>
      </c>
      <c r="Q327" s="265">
        <f>Q84/100*((Parameter!$B$36/100/MAX(Parameter!$B$37,1-Q325))^Parameter!$B$38)^Parameter!$B$40</f>
        <v/>
      </c>
      <c r="R327" s="265">
        <f>R84/100*((Parameter!$B$36/100/MAX(Parameter!$B$37,1-R325))^Parameter!$B$38)^Parameter!$B$40</f>
        <v/>
      </c>
      <c r="S327" s="265">
        <f>S84/100*((Parameter!$B$36/100/MAX(Parameter!$B$37,1-S325))^Parameter!$B$38)^Parameter!$B$40</f>
        <v/>
      </c>
      <c r="T327" s="265">
        <f>T84/100*((Parameter!$B$36/100/MAX(Parameter!$B$37,1-T325))^Parameter!$B$38)^Parameter!$B$40</f>
        <v/>
      </c>
      <c r="U327" s="265">
        <f>U84/100*((Parameter!$B$36/100/MAX(Parameter!$B$37,1-U325))^Parameter!$B$38)^Parameter!$B$40</f>
        <v/>
      </c>
      <c r="V327" s="265">
        <f>V84/100*((Parameter!$B$36/100/MAX(Parameter!$B$37,1-V325))^Parameter!$B$38)^Parameter!$B$40</f>
        <v/>
      </c>
    </row>
    <row r="328" hidden="1" outlineLevel="1">
      <c r="A328" s="264" t="inlineStr">
        <is>
          <t>Gefahr nach den Massnahmen</t>
        </is>
      </c>
      <c r="G328" s="265">
        <f>G84/100*((Parameter!$B$36/100/MAX(Parameter!$B$37,1-G326))^Parameter!$B$38)^Parameter!$B$40</f>
        <v/>
      </c>
      <c r="H328" s="265">
        <f>H84/100*((Parameter!$B$36/100/MAX(Parameter!$B$37,1-H326))^Parameter!$B$38)^Parameter!$B$40</f>
        <v/>
      </c>
      <c r="I328" s="265">
        <f>I84/100*((Parameter!$B$36/100/MAX(Parameter!$B$37,1-I326))^Parameter!$B$38)^Parameter!$B$40</f>
        <v/>
      </c>
      <c r="J328" s="265">
        <f>J84/100*((Parameter!$B$36/100/MAX(Parameter!$B$37,1-J326))^Parameter!$B$38)^Parameter!$B$40</f>
        <v/>
      </c>
      <c r="K328" s="265">
        <f>K84/100*((Parameter!$B$36/100/MAX(Parameter!$B$37,1-K326))^Parameter!$B$38)^Parameter!$B$40</f>
        <v/>
      </c>
      <c r="L328" s="265">
        <f>L84/100*((Parameter!$B$36/100/MAX(Parameter!$B$37,1-L326))^Parameter!$B$38)^Parameter!$B$40</f>
        <v/>
      </c>
      <c r="M328" s="265">
        <f>M84/100*((Parameter!$B$36/100/MAX(Parameter!$B$37,1-M326))^Parameter!$B$38)^Parameter!$B$40</f>
        <v/>
      </c>
      <c r="N328" s="265">
        <f>N84/100*((Parameter!$B$36/100/MAX(Parameter!$B$37,1-N326))^Parameter!$B$38)^Parameter!$B$40</f>
        <v/>
      </c>
      <c r="O328" s="265">
        <f>O84/100*((Parameter!$B$36/100/MAX(Parameter!$B$37,1-O326))^Parameter!$B$38)^Parameter!$B$40</f>
        <v/>
      </c>
      <c r="P328" s="265">
        <f>P84/100*((Parameter!$B$36/100/MAX(Parameter!$B$37,1-P326))^Parameter!$B$38)^Parameter!$B$40</f>
        <v/>
      </c>
      <c r="Q328" s="265">
        <f>Q84/100*((Parameter!$B$36/100/MAX(Parameter!$B$37,1-Q326))^Parameter!$B$38)^Parameter!$B$40</f>
        <v/>
      </c>
      <c r="R328" s="265">
        <f>R84/100*((Parameter!$B$36/100/MAX(Parameter!$B$37,1-R326))^Parameter!$B$38)^Parameter!$B$40</f>
        <v/>
      </c>
      <c r="S328" s="265">
        <f>S84/100*((Parameter!$B$36/100/MAX(Parameter!$B$37,1-S326))^Parameter!$B$38)^Parameter!$B$40</f>
        <v/>
      </c>
      <c r="T328" s="265">
        <f>T84/100*((Parameter!$B$36/100/MAX(Parameter!$B$37,1-T326))^Parameter!$B$38)^Parameter!$B$40</f>
        <v/>
      </c>
      <c r="U328" s="265">
        <f>U84/100*((Parameter!$B$36/100/MAX(Parameter!$B$37,1-U326))^Parameter!$B$38)^Parameter!$B$40</f>
        <v/>
      </c>
      <c r="V328" s="265">
        <f>V84/100*((Parameter!$B$36/100/MAX(Parameter!$B$37,1-V326))^Parameter!$B$38)^Parameter!$B$40</f>
        <v/>
      </c>
    </row>
    <row r="329" hidden="1" outlineLevel="1">
      <c r="A329" s="264" t="inlineStr">
        <is>
          <t>Gefahr mit Stichentscheid</t>
        </is>
      </c>
      <c r="G329" s="265">
        <f>G327+G93*1000-COLUMN()/1000000</f>
        <v/>
      </c>
      <c r="H329" s="265">
        <f>H327+H93*1000-COLUMN()/1000000</f>
        <v/>
      </c>
      <c r="I329" s="265">
        <f>I327+I93*1000-COLUMN()/1000000</f>
        <v/>
      </c>
      <c r="J329" s="265">
        <f>J327+J93*1000-COLUMN()/1000000</f>
        <v/>
      </c>
      <c r="K329" s="265">
        <f>K327+K93*1000-COLUMN()/1000000</f>
        <v/>
      </c>
      <c r="L329" s="265">
        <f>L327+L93*1000-COLUMN()/1000000</f>
        <v/>
      </c>
      <c r="M329" s="265">
        <f>M327+M93*1000-COLUMN()/1000000</f>
        <v/>
      </c>
      <c r="N329" s="265">
        <f>N327+N93*1000-COLUMN()/1000000</f>
        <v/>
      </c>
      <c r="O329" s="265">
        <f>O327+O93*1000-COLUMN()/1000000</f>
        <v/>
      </c>
      <c r="P329" s="265">
        <f>P327+P93*1000-COLUMN()/1000000</f>
        <v/>
      </c>
      <c r="Q329" s="265">
        <f>Q327+Q93*1000-COLUMN()/1000000</f>
        <v/>
      </c>
      <c r="R329" s="265">
        <f>R327+R93*1000-COLUMN()/1000000</f>
        <v/>
      </c>
      <c r="S329" s="265">
        <f>S327+S93*1000-COLUMN()/1000000</f>
        <v/>
      </c>
      <c r="T329" s="265">
        <f>T327+T93*1000-COLUMN()/1000000</f>
        <v/>
      </c>
      <c r="U329" s="265">
        <f>U327+U93*1000-COLUMN()/1000000</f>
        <v/>
      </c>
      <c r="V329" s="265">
        <f>V327+V93*1000-COLUMN()/1000000</f>
        <v/>
      </c>
    </row>
    <row r="330" hidden="1" outlineLevel="1">
      <c r="A330" s="271" t="inlineStr">
        <is>
          <t>C) was jede Massnahme einzeln braechte</t>
        </is>
      </c>
    </row>
    <row r="331" hidden="1" outlineLevel="1">
      <c r="A331" s="222" t="inlineStr">
        <is>
          <t>· PCSK9-Hemmer oder Inclisiran</t>
        </is>
      </c>
      <c r="G331" s="265" t="n">
        <v>0</v>
      </c>
      <c r="H331" s="265" t="n">
        <v>0</v>
      </c>
      <c r="I331" s="265">
        <f>I84/100*((Parameter!$B$36/100/MAX(Parameter!$B$37,1-MIN(1,(1-(1-I95)^((I323*(1-MIN(0,I40)))^Parameter!$B$39))*I288*(1-MAX(0,IF(I40&gt;0,I40*(0.0+1.0*$I$94),I40))))))^Parameter!$B$38)^Parameter!$B$40-I328</f>
        <v/>
      </c>
      <c r="J331" s="265" t="n">
        <v>0</v>
      </c>
      <c r="K331" s="265" t="n">
        <v>0</v>
      </c>
      <c r="L331" s="265">
        <f>L84/100*((Parameter!$B$36/100/MAX(Parameter!$B$37,1-MIN(1,(1-(1-L95)^((L323*(1-MIN(0,L40)))^Parameter!$B$39))*L288*(1-MAX(0,IF(L40&gt;0,L40*(0.1+0.9*$I$94),L40))))))^Parameter!$B$38)^Parameter!$B$40-L328</f>
        <v/>
      </c>
      <c r="M331" s="265" t="n">
        <v>0</v>
      </c>
      <c r="N331" s="265" t="n">
        <v>0</v>
      </c>
      <c r="O331" s="265" t="n">
        <v>0</v>
      </c>
      <c r="P331" s="265" t="n">
        <v>0</v>
      </c>
      <c r="Q331" s="265" t="n">
        <v>0</v>
      </c>
      <c r="R331" s="265" t="n">
        <v>0</v>
      </c>
      <c r="S331" s="265" t="n">
        <v>0</v>
      </c>
      <c r="T331" s="265" t="n">
        <v>0</v>
      </c>
      <c r="U331" s="265">
        <f>U84/100*((Parameter!$B$36/100/MAX(Parameter!$B$37,1-MIN(1,(1-(1-U95)^((U323*(1-MIN(0,U40)))^Parameter!$B$39))*U288*(1-MAX(0,U40)))))^Parameter!$B$38)^Parameter!$B$40-U328</f>
        <v/>
      </c>
      <c r="V331" s="265" t="n">
        <v>0</v>
      </c>
    </row>
    <row r="332" hidden="1" outlineLevel="1">
      <c r="A332" s="222" t="inlineStr">
        <is>
          <t>· Statin</t>
        </is>
      </c>
      <c r="G332" s="265" t="n">
        <v>0</v>
      </c>
      <c r="H332" s="265" t="n">
        <v>0</v>
      </c>
      <c r="I332" s="265">
        <f>I84/100*((Parameter!$B$36/100/MAX(Parameter!$B$37,1-MIN(1,(1-(1-I95)^((I323*(1-MIN(0,I41)))^Parameter!$B$39))*I288*(1-MAX(0,IF(I41&gt;0,I41*(0.0+1.0*$I$94),I41))))))^Parameter!$B$38)^Parameter!$B$40-I328</f>
        <v/>
      </c>
      <c r="J332" s="265" t="n">
        <v>0</v>
      </c>
      <c r="K332" s="265" t="n">
        <v>0</v>
      </c>
      <c r="L332" s="265">
        <f>L84/100*((Parameter!$B$36/100/MAX(Parameter!$B$37,1-MIN(1,(1-(1-L95)^((L323*(1-MIN(0,L41)))^Parameter!$B$39))*L288*(1-MAX(0,IF(L41&gt;0,L41*(0.1+0.9*$I$94),L41))))))^Parameter!$B$38)^Parameter!$B$40-L328</f>
        <v/>
      </c>
      <c r="M332" s="265" t="n">
        <v>0</v>
      </c>
      <c r="N332" s="265" t="n">
        <v>0</v>
      </c>
      <c r="O332" s="265" t="n">
        <v>0</v>
      </c>
      <c r="P332" s="265" t="n">
        <v>0</v>
      </c>
      <c r="Q332" s="265" t="n">
        <v>0</v>
      </c>
      <c r="R332" s="265" t="n">
        <v>0</v>
      </c>
      <c r="S332" s="265" t="n">
        <v>0</v>
      </c>
      <c r="T332" s="265">
        <f>T84/100*((Parameter!$B$36/100/MAX(Parameter!$B$37,1-MIN(1,(1-(1-T95)^((T323*(1-MIN(0,T41)))^Parameter!$B$39))*T288*(1-MAX(0,T41)))))^Parameter!$B$38)^Parameter!$B$40-T328</f>
        <v/>
      </c>
      <c r="U332" s="265" t="n">
        <v>0</v>
      </c>
      <c r="V332" s="265" t="n">
        <v>0</v>
      </c>
    </row>
    <row r="333" hidden="1" outlineLevel="1">
      <c r="A333" s="222" t="inlineStr">
        <is>
          <t>· Ezetimib</t>
        </is>
      </c>
      <c r="G333" s="265" t="n">
        <v>0</v>
      </c>
      <c r="H333" s="265" t="n">
        <v>0</v>
      </c>
      <c r="I333" s="265">
        <f>I84/100*((Parameter!$B$36/100/MAX(Parameter!$B$37,1-MIN(1,(1-(1-I95)^((I323*(1-MIN(0,I42)))^Parameter!$B$39))*I288*(1-MAX(0,IF(I42&gt;0,I42*(0.0+1.0*$I$94),I42))))))^Parameter!$B$38)^Parameter!$B$40-I328</f>
        <v/>
      </c>
      <c r="J333" s="265" t="n">
        <v>0</v>
      </c>
      <c r="K333" s="265" t="n">
        <v>0</v>
      </c>
      <c r="L333" s="265">
        <f>L84/100*((Parameter!$B$36/100/MAX(Parameter!$B$37,1-MIN(1,(1-(1-L95)^((L323*(1-MIN(0,L42)))^Parameter!$B$39))*L288*(1-MAX(0,IF(L42&gt;0,L42*(0.0+1.0*$I$94),L42))))))^Parameter!$B$38)^Parameter!$B$40-L328</f>
        <v/>
      </c>
      <c r="M333" s="265" t="n">
        <v>0</v>
      </c>
      <c r="N333" s="265" t="n">
        <v>0</v>
      </c>
      <c r="O333" s="265" t="n">
        <v>0</v>
      </c>
      <c r="P333" s="265" t="n">
        <v>0</v>
      </c>
      <c r="Q333" s="265" t="n">
        <v>0</v>
      </c>
      <c r="R333" s="265" t="n">
        <v>0</v>
      </c>
      <c r="S333" s="265" t="n">
        <v>0</v>
      </c>
      <c r="T333" s="265" t="n">
        <v>0</v>
      </c>
      <c r="U333" s="265" t="n">
        <v>0</v>
      </c>
      <c r="V333" s="265" t="n">
        <v>0</v>
      </c>
    </row>
    <row r="334" hidden="1" outlineLevel="1">
      <c r="A334" s="222" t="inlineStr">
        <is>
          <t>· Bempedoinsaeure</t>
        </is>
      </c>
      <c r="G334" s="265" t="n">
        <v>0</v>
      </c>
      <c r="H334" s="265" t="n">
        <v>0</v>
      </c>
      <c r="I334" s="265">
        <f>I84/100*((Parameter!$B$36/100/MAX(Parameter!$B$37,1-MIN(1,(1-(1-I95)^((I323*(1-MIN(0,I43)))^Parameter!$B$39))*I288*(1-MAX(0,IF(I43&gt;0,I43*(0.0+1.0*$I$94),I43))))))^Parameter!$B$38)^Parameter!$B$40-I328</f>
        <v/>
      </c>
      <c r="J334" s="265" t="n">
        <v>0</v>
      </c>
      <c r="K334" s="265" t="n">
        <v>0</v>
      </c>
      <c r="L334" s="265">
        <f>L84/100*((Parameter!$B$36/100/MAX(Parameter!$B$37,1-MIN(1,(1-(1-L95)^((L323*(1-MIN(0,L43)))^Parameter!$B$39))*L288*(1-MAX(0,IF(L43&gt;0,L43*(0.0+1.0*$I$94),L43))))))^Parameter!$B$38)^Parameter!$B$40-L328</f>
        <v/>
      </c>
      <c r="M334" s="265" t="n">
        <v>0</v>
      </c>
      <c r="N334" s="265" t="n">
        <v>0</v>
      </c>
      <c r="O334" s="265" t="n">
        <v>0</v>
      </c>
      <c r="P334" s="265" t="n">
        <v>0</v>
      </c>
      <c r="Q334" s="265" t="n">
        <v>0</v>
      </c>
      <c r="R334" s="265" t="n">
        <v>0</v>
      </c>
      <c r="S334" s="265" t="n">
        <v>0</v>
      </c>
      <c r="T334" s="265" t="n">
        <v>0</v>
      </c>
      <c r="U334" s="265" t="n">
        <v>0</v>
      </c>
      <c r="V334" s="265" t="n">
        <v>0</v>
      </c>
    </row>
    <row r="335" hidden="1" outlineLevel="1">
      <c r="A335" s="222" t="inlineStr">
        <is>
          <t>· Sartan (ARB)</t>
        </is>
      </c>
      <c r="G335" s="265" t="n">
        <v>0</v>
      </c>
      <c r="H335" s="265" t="n">
        <v>0</v>
      </c>
      <c r="I335" s="265" t="n">
        <v>0</v>
      </c>
      <c r="J335" s="265">
        <f>J84/100*((Parameter!$B$36/100/MAX(Parameter!$B$37,1-MIN(1,(1-(1-J95)^((J323*(1-MIN(0,J44)))^Parameter!$B$39))*J288*(1-MAX(0,IF(J44&gt;0,J44*(0.15+0.85*$G$94),J44))))))^Parameter!$B$38)^Parameter!$B$40-J328</f>
        <v/>
      </c>
      <c r="K335" s="265">
        <f>K84/100*((Parameter!$B$36/100/MAX(Parameter!$B$37,1-MIN(1,(1-(1-K95)^((K323*(1-MIN(0,K44)))^Parameter!$B$39))*K288*(1-MAX(0,IF(K44&gt;0,K44*(0.5+0.5*$G$94),K44))))))^Parameter!$B$38)^Parameter!$B$40-K328</f>
        <v/>
      </c>
      <c r="L335" s="265" t="n">
        <v>0</v>
      </c>
      <c r="M335" s="265" t="n">
        <v>0</v>
      </c>
      <c r="N335" s="265" t="n">
        <v>0</v>
      </c>
      <c r="O335" s="265">
        <f>O84/100*((Parameter!$B$36/100/MAX(Parameter!$B$37,1-MIN(1,(1-(1-O95)^((O323*(1-MIN(0,O44)))^Parameter!$B$39))*O288*(1-MAX(0,IF(O44&gt;0,O44*(0.3+0.7*$G$94),O44))))))^Parameter!$B$38)^Parameter!$B$40-O328</f>
        <v/>
      </c>
      <c r="P335" s="265" t="n">
        <v>0</v>
      </c>
      <c r="Q335" s="265" t="n">
        <v>0</v>
      </c>
      <c r="R335" s="265">
        <f>R84/100*((Parameter!$B$36/100/MAX(Parameter!$B$37,1-MIN(1,(1-(1-R95)^((R323*(1-MIN(0,R44)))^Parameter!$B$39))*R288*(1-MAX(0,R44)))))^Parameter!$B$38)^Parameter!$B$40-R328</f>
        <v/>
      </c>
      <c r="S335" s="265" t="n">
        <v>0</v>
      </c>
      <c r="T335" s="265" t="n">
        <v>0</v>
      </c>
      <c r="U335" s="265" t="n">
        <v>0</v>
      </c>
      <c r="V335" s="265" t="n">
        <v>0</v>
      </c>
    </row>
    <row r="336" hidden="1" outlineLevel="1">
      <c r="A336" s="222" t="inlineStr">
        <is>
          <t>· ACE-Hemmer</t>
        </is>
      </c>
      <c r="G336" s="265" t="n">
        <v>0</v>
      </c>
      <c r="H336" s="265" t="n">
        <v>0</v>
      </c>
      <c r="I336" s="265" t="n">
        <v>0</v>
      </c>
      <c r="J336" s="265">
        <f>J84/100*((Parameter!$B$36/100/MAX(Parameter!$B$37,1-MIN(1,(1-(1-J95)^((J323*(1-MIN(0,J45)))^Parameter!$B$39))*J288*(1-MAX(0,IF(J45&gt;0,J45*(0.15+0.85*$G$94),J45))))))^Parameter!$B$38)^Parameter!$B$40-J328</f>
        <v/>
      </c>
      <c r="K336" s="265">
        <f>K84/100*((Parameter!$B$36/100/MAX(Parameter!$B$37,1-MIN(1,(1-(1-K95)^((K323*(1-MIN(0,K45)))^Parameter!$B$39))*K288*(1-MAX(0,IF(K45&gt;0,K45*(0.5+0.5*$G$94),K45))))))^Parameter!$B$38)^Parameter!$B$40-K328</f>
        <v/>
      </c>
      <c r="L336" s="265" t="n">
        <v>0</v>
      </c>
      <c r="M336" s="265" t="n">
        <v>0</v>
      </c>
      <c r="N336" s="265" t="n">
        <v>0</v>
      </c>
      <c r="O336" s="265">
        <f>O84/100*((Parameter!$B$36/100/MAX(Parameter!$B$37,1-MIN(1,(1-(1-O95)^((O323*(1-MIN(0,O45)))^Parameter!$B$39))*O288*(1-MAX(0,IF(O45&gt;0,O45*(0.3+0.7*$G$94),O45))))))^Parameter!$B$38)^Parameter!$B$40-O328</f>
        <v/>
      </c>
      <c r="P336" s="265" t="n">
        <v>0</v>
      </c>
      <c r="Q336" s="265" t="n">
        <v>0</v>
      </c>
      <c r="R336" s="265">
        <f>R84/100*((Parameter!$B$36/100/MAX(Parameter!$B$37,1-MIN(1,(1-(1-R95)^((R323*(1-MIN(0,R45)))^Parameter!$B$39))*R288*(1-MAX(0,R45)))))^Parameter!$B$38)^Parameter!$B$40-R328</f>
        <v/>
      </c>
      <c r="S336" s="265" t="n">
        <v>0</v>
      </c>
      <c r="T336" s="265" t="n">
        <v>0</v>
      </c>
      <c r="U336" s="265" t="n">
        <v>0</v>
      </c>
      <c r="V336" s="265" t="n">
        <v>0</v>
      </c>
    </row>
    <row r="337" hidden="1" outlineLevel="1">
      <c r="A337" s="222" t="inlineStr">
        <is>
          <t>· Amlodipin (Calciumantagonist)</t>
        </is>
      </c>
      <c r="G337" s="265" t="n">
        <v>0</v>
      </c>
      <c r="H337" s="265" t="n">
        <v>0</v>
      </c>
      <c r="I337" s="265" t="n">
        <v>0</v>
      </c>
      <c r="J337" s="265">
        <f>J84/100*((Parameter!$B$36/100/MAX(Parameter!$B$37,1-MIN(1,(1-(1-J95)^((J323*(1-MIN(0,J46)))^Parameter!$B$39))*J288*(1-MAX(0,IF(J46&gt;0,J46*(0.1+0.9*$G$94),J46))))))^Parameter!$B$38)^Parameter!$B$40-J328</f>
        <v/>
      </c>
      <c r="K337" s="265">
        <f>K84/100*((Parameter!$B$36/100/MAX(Parameter!$B$37,1-MIN(1,(1-(1-K95)^((K323*(1-MIN(0,K46)))^Parameter!$B$39))*K288*(1-MAX(0,IF(K46&gt;0,K46*(0.6+0.4*$G$94),K46))))))^Parameter!$B$38)^Parameter!$B$40-K328</f>
        <v/>
      </c>
      <c r="L337" s="265">
        <f>L84/100*((Parameter!$B$36/100/MAX(Parameter!$B$37,1-MIN(1,(1-(1-L95)^((L323*(1-MIN(0,L46)))^Parameter!$B$39))*L288*(1-MAX(0,L46)))))^Parameter!$B$38)^Parameter!$B$40-L328</f>
        <v/>
      </c>
      <c r="M337" s="265" t="n">
        <v>0</v>
      </c>
      <c r="N337" s="265" t="n">
        <v>0</v>
      </c>
      <c r="O337" s="265">
        <f>O84/100*((Parameter!$B$36/100/MAX(Parameter!$B$37,1-MIN(1,(1-(1-O95)^((O323*(1-MIN(0,O46)))^Parameter!$B$39))*O288*(1-MAX(0,IF(O46&gt;0,O46*(0.25+0.75*$G$94),O46))))))^Parameter!$B$38)^Parameter!$B$40-O328</f>
        <v/>
      </c>
      <c r="P337" s="265" t="n">
        <v>0</v>
      </c>
      <c r="Q337" s="265" t="n">
        <v>0</v>
      </c>
      <c r="R337" s="265" t="n">
        <v>0</v>
      </c>
      <c r="S337" s="265" t="n">
        <v>0</v>
      </c>
      <c r="T337" s="265" t="n">
        <v>0</v>
      </c>
      <c r="U337" s="265" t="n">
        <v>0</v>
      </c>
      <c r="V337" s="265" t="n">
        <v>0</v>
      </c>
    </row>
    <row r="338" hidden="1" outlineLevel="1">
      <c r="A338" s="222" t="inlineStr">
        <is>
          <t>· Nebivolol (Betablocker)</t>
        </is>
      </c>
      <c r="G338" s="265" t="n">
        <v>0</v>
      </c>
      <c r="H338" s="265" t="n">
        <v>0</v>
      </c>
      <c r="I338" s="265" t="n">
        <v>0</v>
      </c>
      <c r="J338" s="265">
        <f>J84/100*((Parameter!$B$36/100/MAX(Parameter!$B$37,1-MIN(1,(1-(1-J95)^((J323*(1-MIN(0,J47)))^Parameter!$B$39))*J288*(1-MAX(0,IF(J47&gt;0,J47*(0.1+0.9*$G$94),J47))))))^Parameter!$B$38)^Parameter!$B$40-J328</f>
        <v/>
      </c>
      <c r="K338" s="265">
        <f>K84/100*((Parameter!$B$36/100/MAX(Parameter!$B$37,1-MIN(1,(1-(1-K95)^((K323*(1-MIN(0,K47)))^Parameter!$B$39))*K288*(1-MAX(0,IF(K47&gt;0,K47*(0.5+0.5*$G$94),K47))))))^Parameter!$B$38)^Parameter!$B$40-K328</f>
        <v/>
      </c>
      <c r="L338" s="265" t="n">
        <v>0</v>
      </c>
      <c r="M338" s="265" t="n">
        <v>0</v>
      </c>
      <c r="N338" s="265" t="n">
        <v>0</v>
      </c>
      <c r="O338" s="265">
        <f>O84/100*((Parameter!$B$36/100/MAX(Parameter!$B$37,1-MIN(1,(1-(1-O95)^((O323*(1-MIN(0,O47)))^Parameter!$B$39))*O288*(1-MAX(0,IF(O47&gt;0,O47*(0.3+0.7*$G$94),O47))))))^Parameter!$B$38)^Parameter!$B$40-O328</f>
        <v/>
      </c>
      <c r="P338" s="265" t="n">
        <v>0</v>
      </c>
      <c r="Q338" s="265">
        <f>Q84/100*((Parameter!$B$36/100/MAX(Parameter!$B$37,1-MIN(1,(1-(1-Q95)^((Q323*(1-MIN(0,Q47)))^Parameter!$B$39))*Q288*(1-MAX(0,Q47)))))^Parameter!$B$38)^Parameter!$B$40-Q328</f>
        <v/>
      </c>
      <c r="R338" s="265" t="n">
        <v>0</v>
      </c>
      <c r="S338" s="265" t="n">
        <v>0</v>
      </c>
      <c r="T338" s="265" t="n">
        <v>0</v>
      </c>
      <c r="U338" s="265" t="n">
        <v>0</v>
      </c>
      <c r="V338" s="265" t="n">
        <v>0</v>
      </c>
    </row>
    <row r="339" hidden="1" outlineLevel="1">
      <c r="A339" s="222" t="inlineStr">
        <is>
          <t>· Tadalafil niedrig dosiert</t>
        </is>
      </c>
      <c r="G339" s="265" t="n">
        <v>0</v>
      </c>
      <c r="H339" s="265" t="n">
        <v>0</v>
      </c>
      <c r="I339" s="265" t="n">
        <v>0</v>
      </c>
      <c r="J339" s="265">
        <f>J84/100*((Parameter!$B$36/100/MAX(Parameter!$B$37,1-MIN(1,(1-(1-J95)^((J323*(1-MIN(0,J48)))^Parameter!$B$39))*J288*(1-MAX(0,IF(J48&gt;0,J48*(0.3+0.7*$G$94),J48))))))^Parameter!$B$38)^Parameter!$B$40-J328</f>
        <v/>
      </c>
      <c r="K339" s="265">
        <f>K84/100*((Parameter!$B$36/100/MAX(Parameter!$B$37,1-MIN(1,(1-(1-K95)^((K323*(1-MIN(0,K48)))^Parameter!$B$39))*K288*(1-MAX(0,K48)))))^Parameter!$B$38)^Parameter!$B$40-K328</f>
        <v/>
      </c>
      <c r="L339" s="265">
        <f>L84/100*((Parameter!$B$36/100/MAX(Parameter!$B$37,1-MIN(1,(1-(1-L95)^((L323*(1-MIN(0,L48)))^Parameter!$B$39))*L288*(1-MAX(0,L48)))))^Parameter!$B$38)^Parameter!$B$40-L328</f>
        <v/>
      </c>
      <c r="M339" s="265" t="n">
        <v>0</v>
      </c>
      <c r="N339" s="265" t="n">
        <v>0</v>
      </c>
      <c r="O339" s="265" t="n">
        <v>0</v>
      </c>
      <c r="P339" s="265" t="n">
        <v>0</v>
      </c>
      <c r="Q339" s="265" t="n">
        <v>0</v>
      </c>
      <c r="R339" s="265" t="n">
        <v>0</v>
      </c>
      <c r="S339" s="265" t="n">
        <v>0</v>
      </c>
      <c r="T339" s="265" t="n">
        <v>0</v>
      </c>
      <c r="U339" s="265" t="n">
        <v>0</v>
      </c>
      <c r="V339" s="265" t="n">
        <v>0</v>
      </c>
    </row>
    <row r="340" hidden="1" outlineLevel="1">
      <c r="A340" s="222" t="inlineStr">
        <is>
          <t>· Blutspende oder Aderlass</t>
        </is>
      </c>
      <c r="G340" s="265">
        <f>G84/100*((Parameter!$B$36/100/MAX(Parameter!$B$37,1-MIN(1,(1-(1-G95)^((G323*(1-MIN(0,G49)))^Parameter!$B$39))*G288*(1-MAX(0,IF(G49&gt;0,G49*(0.0+1.0*$H$94),G49))))))^Parameter!$B$38)^Parameter!$B$40-G328</f>
        <v/>
      </c>
      <c r="H340" s="265" t="n">
        <v>0</v>
      </c>
      <c r="I340" s="265" t="n">
        <v>0</v>
      </c>
      <c r="J340" s="265" t="n">
        <v>0</v>
      </c>
      <c r="K340" s="265" t="n">
        <v>0</v>
      </c>
      <c r="L340" s="265" t="n">
        <v>0</v>
      </c>
      <c r="M340" s="265" t="n">
        <v>0</v>
      </c>
      <c r="N340" s="265" t="n">
        <v>0</v>
      </c>
      <c r="O340" s="265" t="n">
        <v>0</v>
      </c>
      <c r="P340" s="265" t="n">
        <v>0</v>
      </c>
      <c r="Q340" s="265" t="n">
        <v>0</v>
      </c>
      <c r="R340" s="265" t="n">
        <v>0</v>
      </c>
      <c r="S340" s="265" t="n">
        <v>0</v>
      </c>
      <c r="T340" s="265" t="n">
        <v>0</v>
      </c>
      <c r="U340" s="265" t="n">
        <v>0</v>
      </c>
      <c r="V340" s="265" t="n">
        <v>0</v>
      </c>
    </row>
    <row r="341" hidden="1" outlineLevel="1">
      <c r="A341" s="222" t="inlineStr">
        <is>
          <t>· SGLT2-Hemmer</t>
        </is>
      </c>
      <c r="G341" s="265">
        <f>G84/100*((Parameter!$B$36/100/MAX(Parameter!$B$37,1-MIN(1,(1-(1-G95)^((G323*(1-MIN(0,G50)))^Parameter!$B$39))*G288*(1-MAX(0,G50)))))^Parameter!$B$38)^Parameter!$B$40-G328</f>
        <v/>
      </c>
      <c r="H341" s="265" t="n">
        <v>0</v>
      </c>
      <c r="I341" s="265" t="n">
        <v>0</v>
      </c>
      <c r="J341" s="265">
        <f>J84/100*((Parameter!$B$36/100/MAX(Parameter!$B$37,1-MIN(1,(1-(1-J95)^((J323*(1-MIN(0,J50)))^Parameter!$B$39))*J288*(1-MAX(0,IF(J50&gt;0,J50*(0.2+0.8*$G$94),J50))))))^Parameter!$B$38)^Parameter!$B$40-J328</f>
        <v/>
      </c>
      <c r="K341" s="265">
        <f>K84/100*((Parameter!$B$36/100/MAX(Parameter!$B$37,1-MIN(1,(1-(1-K95)^((K323*(1-MIN(0,K50)))^Parameter!$B$39))*K288*(1-MAX(0,K50)))))^Parameter!$B$38)^Parameter!$B$40-K328</f>
        <v/>
      </c>
      <c r="L341" s="265" t="n">
        <v>0</v>
      </c>
      <c r="M341" s="265" t="n">
        <v>0</v>
      </c>
      <c r="N341" s="265" t="n">
        <v>0</v>
      </c>
      <c r="O341" s="265" t="n">
        <v>0</v>
      </c>
      <c r="P341" s="265" t="n">
        <v>0</v>
      </c>
      <c r="Q341" s="265" t="n">
        <v>0</v>
      </c>
      <c r="R341" s="265">
        <f>R84/100*((Parameter!$B$36/100/MAX(Parameter!$B$37,1-MIN(1,(1-(1-R95)^((R323*(1-MIN(0,R50)))^Parameter!$B$39))*R288*(1-MAX(0,R50)))))^Parameter!$B$38)^Parameter!$B$40-R328</f>
        <v/>
      </c>
      <c r="S341" s="265" t="n">
        <v>0</v>
      </c>
      <c r="T341" s="265">
        <f>T84/100*((Parameter!$B$36/100/MAX(Parameter!$B$37,1-MIN(1,(1-(1-T95)^((T323*(1-MIN(0,T50)))^Parameter!$B$39))*T288*(1-MAX(0,IF(T50&gt;0,T50*(0.1+0.9*$L$94),T50))))))^Parameter!$B$38)^Parameter!$B$40-T328</f>
        <v/>
      </c>
      <c r="U341" s="265" t="n">
        <v>0</v>
      </c>
      <c r="V341" s="265" t="n">
        <v>0</v>
      </c>
    </row>
    <row r="342" hidden="1" outlineLevel="1">
      <c r="A342" s="222" t="inlineStr">
        <is>
          <t>· GLP-1- oder GLP-1/GIP-Agonist</t>
        </is>
      </c>
      <c r="G342" s="265" t="n">
        <v>0</v>
      </c>
      <c r="H342" s="265">
        <f>H84/100*((Parameter!$B$36/100/MAX(Parameter!$B$37,1-MIN(1,(1-(1-H95)^((H323*(1-MIN(0,H51)))^Parameter!$B$39))*H288*(1-MAX(0,IF(H51&gt;0,H51*(0.3+0.7*$J$94),H51))))))^Parameter!$B$38)^Parameter!$B$40-H328</f>
        <v/>
      </c>
      <c r="I342" s="265" t="n">
        <v>0</v>
      </c>
      <c r="J342" s="265">
        <f>J84/100*((Parameter!$B$36/100/MAX(Parameter!$B$37,1-MIN(1,(1-(1-J95)^((J323*(1-MIN(0,J51)))^Parameter!$B$39))*J288*(1-MAX(0,IF(J51&gt;0,J51*(0.25+0.75*$G$94),J51))))))^Parameter!$B$38)^Parameter!$B$40-J328</f>
        <v/>
      </c>
      <c r="K342" s="265" t="n">
        <v>0</v>
      </c>
      <c r="L342" s="265">
        <f>L84/100*((Parameter!$B$36/100/MAX(Parameter!$B$37,1-MIN(1,(1-(1-L95)^((L323*(1-MIN(0,L51)))^Parameter!$B$39))*L288*(1-MAX(0,L51)))))^Parameter!$B$38)^Parameter!$B$40-L328</f>
        <v/>
      </c>
      <c r="M342" s="265" t="n">
        <v>0</v>
      </c>
      <c r="N342" s="265" t="n">
        <v>0</v>
      </c>
      <c r="O342" s="265" t="n">
        <v>0</v>
      </c>
      <c r="P342" s="265">
        <f>P84/100*((Parameter!$B$36/100/MAX(Parameter!$B$37,1-MIN(1,(1-(1-P95)^((P323*(1-MIN(0,P51)))^Parameter!$B$39))*P288*(1-MAX(0,IF(P51&gt;0,P51*(0.3+0.7*$K$94),P51))))))^Parameter!$B$38)^Parameter!$B$40-P328</f>
        <v/>
      </c>
      <c r="Q342" s="265" t="n">
        <v>0</v>
      </c>
      <c r="R342" s="265" t="n">
        <v>0</v>
      </c>
      <c r="S342" s="265">
        <f>S84/100*((Parameter!$B$36/100/MAX(Parameter!$B$37,1-MIN(1,(1-(1-S95)^((S323*(1-MIN(0,S51)))^Parameter!$B$39))*S288*(1-MAX(0,S51)))))^Parameter!$B$38)^Parameter!$B$40-S328</f>
        <v/>
      </c>
      <c r="T342" s="265">
        <f>T84/100*((Parameter!$B$36/100/MAX(Parameter!$B$37,1-MIN(1,(1-(1-T95)^((T323*(1-MIN(0,T51)))^Parameter!$B$39))*T288*(1-MAX(0,IF(T51&gt;0,T51*(0.0+1.0*$L$94),T51))))))^Parameter!$B$38)^Parameter!$B$40-T328</f>
        <v/>
      </c>
      <c r="U342" s="265" t="n">
        <v>0</v>
      </c>
      <c r="V342" s="265" t="n">
        <v>0</v>
      </c>
    </row>
    <row r="343" hidden="1" outlineLevel="1">
      <c r="A343" s="222" t="inlineStr">
        <is>
          <t>· Berberin oder Metformin</t>
        </is>
      </c>
      <c r="G343" s="265" t="n">
        <v>0</v>
      </c>
      <c r="H343" s="265" t="n">
        <v>0</v>
      </c>
      <c r="I343" s="265">
        <f>I84/100*((Parameter!$B$36/100/MAX(Parameter!$B$37,1-MIN(1,(1-(1-I95)^((I323*(1-MIN(0,I52)))^Parameter!$B$39))*I288*(1-MAX(0,IF(I52&gt;0,I52*(0.0+1.0*$I$94),I52))))))^Parameter!$B$38)^Parameter!$B$40-I328</f>
        <v/>
      </c>
      <c r="J343" s="265" t="n">
        <v>0</v>
      </c>
      <c r="K343" s="265" t="n">
        <v>0</v>
      </c>
      <c r="L343" s="265" t="n">
        <v>0</v>
      </c>
      <c r="M343" s="265" t="n">
        <v>0</v>
      </c>
      <c r="N343" s="265" t="n">
        <v>0</v>
      </c>
      <c r="O343" s="265" t="n">
        <v>0</v>
      </c>
      <c r="P343" s="265">
        <f>P84/100*((Parameter!$B$36/100/MAX(Parameter!$B$37,1-MIN(1,(1-(1-P95)^((P323*(1-MIN(0,P52)))^Parameter!$B$39))*P288*(1-MAX(0,IF(P52&gt;0,P52*(0.0+1.0*$K$94),P52))))))^Parameter!$B$38)^Parameter!$B$40-P328</f>
        <v/>
      </c>
      <c r="Q343" s="265" t="n">
        <v>0</v>
      </c>
      <c r="R343" s="265" t="n">
        <v>0</v>
      </c>
      <c r="S343" s="265">
        <f>S84/100*((Parameter!$B$36/100/MAX(Parameter!$B$37,1-MIN(1,(1-(1-S95)^((S323*(1-MIN(0,S52)))^Parameter!$B$39))*S288*(1-MAX(0,S52)))))^Parameter!$B$38)^Parameter!$B$40-S328</f>
        <v/>
      </c>
      <c r="T343" s="265">
        <f>T84/100*((Parameter!$B$36/100/MAX(Parameter!$B$37,1-MIN(1,(1-(1-T95)^((T323*(1-MIN(0,T52)))^Parameter!$B$39))*T288*(1-MAX(0,IF(T52&gt;0,T52*(0.0+1.0*$L$94),T52))))))^Parameter!$B$38)^Parameter!$B$40-T328</f>
        <v/>
      </c>
      <c r="U343" s="265" t="n">
        <v>0</v>
      </c>
      <c r="V343" s="265" t="n">
        <v>0</v>
      </c>
    </row>
    <row r="344" hidden="1" outlineLevel="1">
      <c r="A344" s="222" t="inlineStr">
        <is>
          <t>· Omega-3 hochdosiert</t>
        </is>
      </c>
      <c r="G344" s="265" t="n">
        <v>0</v>
      </c>
      <c r="H344" s="265" t="n">
        <v>0</v>
      </c>
      <c r="I344" s="265" t="n">
        <v>0</v>
      </c>
      <c r="J344" s="265" t="n">
        <v>0</v>
      </c>
      <c r="K344" s="265" t="n">
        <v>0</v>
      </c>
      <c r="L344" s="265">
        <f>L84/100*((Parameter!$B$36/100/MAX(Parameter!$B$37,1-MIN(1,(1-(1-L95)^((L323*(1-MIN(0,L53)))^Parameter!$B$39))*L288*(1-MAX(0,L53)))))^Parameter!$B$38)^Parameter!$B$40-L328</f>
        <v/>
      </c>
      <c r="M344" s="265" t="n">
        <v>0</v>
      </c>
      <c r="N344" s="265">
        <f>N84/100*((Parameter!$B$36/100/MAX(Parameter!$B$37,1-MIN(1,(1-(1-N95)^((N323*(1-MIN(0,N53)))^Parameter!$B$39))*N288*(1-MAX(0,N53)))))^Parameter!$B$38)^Parameter!$B$40-N328</f>
        <v/>
      </c>
      <c r="O344" s="265" t="n">
        <v>0</v>
      </c>
      <c r="P344" s="265">
        <f>P84/100*((Parameter!$B$36/100/MAX(Parameter!$B$37,1-MIN(1,(1-(1-P95)^((P323*(1-MIN(0,P53)))^Parameter!$B$39))*P288*(1-MAX(0,IF(P53&gt;0,P53*(0.1+0.9*$K$94),P53))))))^Parameter!$B$38)^Parameter!$B$40-P328</f>
        <v/>
      </c>
      <c r="Q344" s="265" t="n">
        <v>0</v>
      </c>
      <c r="R344" s="265" t="n">
        <v>0</v>
      </c>
      <c r="S344" s="265" t="n">
        <v>0</v>
      </c>
      <c r="T344" s="265" t="n">
        <v>0</v>
      </c>
      <c r="U344" s="265" t="n">
        <v>0</v>
      </c>
      <c r="V344" s="265" t="n">
        <v>0</v>
      </c>
    </row>
    <row r="345" hidden="1" outlineLevel="1">
      <c r="A345" s="222" t="inlineStr">
        <is>
          <t>· OTC-Stack komplett</t>
        </is>
      </c>
      <c r="G345" s="265" t="n">
        <v>0</v>
      </c>
      <c r="H345" s="265">
        <f>H84/100*((Parameter!$B$36/100/MAX(Parameter!$B$37,1-MIN(1,(1-(1-H95)^((H323*(1-MIN(0,H54)))^Parameter!$B$39))*H288*(1-MAX(0,IF(H54&gt;0,H54*(0.0+1.0*$J$94),H54))))))^Parameter!$B$38)^Parameter!$B$40-H328</f>
        <v/>
      </c>
      <c r="I345" s="265">
        <f>I84/100*((Parameter!$B$36/100/MAX(Parameter!$B$37,1-MIN(1,(1-(1-I95)^((I323*(1-MIN(0,I54)))^Parameter!$B$39))*I288*(1-MAX(0,IF(I54&gt;0,I54*(0.0+1.0*$I$94),I54))))))^Parameter!$B$38)^Parameter!$B$40-I328</f>
        <v/>
      </c>
      <c r="J345" s="265">
        <f>J84/100*((Parameter!$B$36/100/MAX(Parameter!$B$37,1-MIN(1,(1-(1-J95)^((J323*(1-MIN(0,J54)))^Parameter!$B$39))*J288*(1-MAX(0,IF(J54&gt;0,J54*(0.15+0.85*$G$94),J54))))))^Parameter!$B$38)^Parameter!$B$40-J328</f>
        <v/>
      </c>
      <c r="K345" s="265" t="n">
        <v>0</v>
      </c>
      <c r="L345" s="265" t="n">
        <v>0</v>
      </c>
      <c r="M345" s="265" t="n">
        <v>0</v>
      </c>
      <c r="N345" s="265">
        <f>N84/100*((Parameter!$B$36/100/MAX(Parameter!$B$37,1-MIN(1,(1-(1-N95)^((N323*(1-MIN(0,N54)))^Parameter!$B$39))*N288*(1-MAX(0,N54)))))^Parameter!$B$38)^Parameter!$B$40-N328</f>
        <v/>
      </c>
      <c r="O345" s="265" t="n">
        <v>0</v>
      </c>
      <c r="P345" s="265">
        <f>P84/100*((Parameter!$B$36/100/MAX(Parameter!$B$37,1-MIN(1,(1-(1-P95)^((P323*(1-MIN(0,P54)))^Parameter!$B$39))*P288*(1-MAX(0,IF(P54&gt;0,P54*(0.1+0.9*$K$94),P54))))))^Parameter!$B$38)^Parameter!$B$40-P328</f>
        <v/>
      </c>
      <c r="Q345" s="265" t="n">
        <v>0</v>
      </c>
      <c r="R345" s="265" t="n">
        <v>0</v>
      </c>
      <c r="S345" s="265">
        <f>S84/100*((Parameter!$B$36/100/MAX(Parameter!$B$37,1-MIN(1,(1-(1-S95)^((S323*(1-MIN(0,S54)))^Parameter!$B$39))*S288*(1-MAX(0,S54)))))^Parameter!$B$38)^Parameter!$B$40-S328</f>
        <v/>
      </c>
      <c r="T345" s="265">
        <f>T84/100*((Parameter!$B$36/100/MAX(Parameter!$B$37,1-MIN(1,(1-(1-T95)^((T323*(1-MIN(0,T54)))^Parameter!$B$39))*T288*(1-MAX(0,IF(T54&gt;0,T54*(0.0+1.0*$L$94),T54))))))^Parameter!$B$38)^Parameter!$B$40-T328</f>
        <v/>
      </c>
      <c r="U345" s="265" t="n">
        <v>0</v>
      </c>
      <c r="V345" s="265" t="n">
        <v>0</v>
      </c>
    </row>
    <row r="346" hidden="1" outlineLevel="1">
      <c r="A346" s="222" t="inlineStr">
        <is>
          <t>· Leber-Supplemente (TUDCA, NAC)</t>
        </is>
      </c>
      <c r="G346" s="265" t="n">
        <v>0</v>
      </c>
      <c r="H346" s="265" t="n">
        <v>0</v>
      </c>
      <c r="I346" s="265" t="n">
        <v>0</v>
      </c>
      <c r="J346" s="265" t="n">
        <v>0</v>
      </c>
      <c r="K346" s="265" t="n">
        <v>0</v>
      </c>
      <c r="L346" s="265" t="n">
        <v>0</v>
      </c>
      <c r="M346" s="265" t="n">
        <v>0</v>
      </c>
      <c r="N346" s="265" t="n">
        <v>0</v>
      </c>
      <c r="O346" s="265" t="n">
        <v>0</v>
      </c>
      <c r="P346" s="265" t="n">
        <v>0</v>
      </c>
      <c r="Q346" s="265" t="n">
        <v>0</v>
      </c>
      <c r="R346" s="265" t="n">
        <v>0</v>
      </c>
      <c r="S346" s="265">
        <f>S84/100*((Parameter!$B$36/100/MAX(Parameter!$B$37,1-MIN(1,(1-(1-S95)^((S323*(1-MIN(0,S55)))^Parameter!$B$39))*S288*(1-MAX(0,S55)))))^Parameter!$B$38)^Parameter!$B$40-S328</f>
        <v/>
      </c>
      <c r="T346" s="265" t="n">
        <v>0</v>
      </c>
      <c r="U346" s="265" t="n">
        <v>0</v>
      </c>
      <c r="V346" s="265" t="n">
        <v>0</v>
      </c>
    </row>
    <row r="347" hidden="1" outlineLevel="1">
      <c r="A347" s="222" t="inlineStr">
        <is>
          <t>· Ausdauertraining und Koerperfett runter</t>
        </is>
      </c>
      <c r="G347" s="265" t="n">
        <v>0</v>
      </c>
      <c r="H347" s="265">
        <f>H84/100*((Parameter!$B$36/100/MAX(Parameter!$B$37,1-MIN(1,(1-(1-H95)^((H323*(1-MIN(0,H56)))^Parameter!$B$39))*H288*(1-MAX(0,IF(H56&gt;0,H56*(0.3+0.7*$J$94),H56))))))^Parameter!$B$38)^Parameter!$B$40-H328</f>
        <v/>
      </c>
      <c r="I347" s="265" t="n">
        <v>0</v>
      </c>
      <c r="J347" s="265">
        <f>J84/100*((Parameter!$B$36/100/MAX(Parameter!$B$37,1-MIN(1,(1-(1-J95)^((J323*(1-MIN(0,J56)))^Parameter!$B$39))*J288*(1-MAX(0,IF(J56&gt;0,J56*(0.35+0.65*$G$94),J56))))))^Parameter!$B$38)^Parameter!$B$40-J328</f>
        <v/>
      </c>
      <c r="K347" s="265">
        <f>K84/100*((Parameter!$B$36/100/MAX(Parameter!$B$37,1-MIN(1,(1-(1-K95)^((K323*(1-MIN(0,K56)))^Parameter!$B$39))*K288*(1-MAX(0,K56)))))^Parameter!$B$38)^Parameter!$B$40-K328</f>
        <v/>
      </c>
      <c r="L347" s="265">
        <f>L84/100*((Parameter!$B$36/100/MAX(Parameter!$B$37,1-MIN(1,(1-(1-L95)^((L323*(1-MIN(0,L56)))^Parameter!$B$39))*L288*(1-MAX(0,L56)))))^Parameter!$B$38)^Parameter!$B$40-L328</f>
        <v/>
      </c>
      <c r="M347" s="265" t="n">
        <v>0</v>
      </c>
      <c r="N347" s="265">
        <f>N84/100*((Parameter!$B$36/100/MAX(Parameter!$B$37,1-MIN(1,(1-(1-N95)^((N323*(1-MIN(0,N56)))^Parameter!$B$39))*N288*(1-MAX(0,N56)))))^Parameter!$B$38)^Parameter!$B$40-N328</f>
        <v/>
      </c>
      <c r="O347" s="265">
        <f>O84/100*((Parameter!$B$36/100/MAX(Parameter!$B$37,1-MIN(1,(1-(1-O95)^((O323*(1-MIN(0,O56)))^Parameter!$B$39))*O288*(1-MAX(0,IF(O56&gt;0,O56*(0.4+0.6*$G$94),O56))))))^Parameter!$B$38)^Parameter!$B$40-O328</f>
        <v/>
      </c>
      <c r="P347" s="265">
        <f>P84/100*((Parameter!$B$36/100/MAX(Parameter!$B$37,1-MIN(1,(1-(1-P95)^((P323*(1-MIN(0,P56)))^Parameter!$B$39))*P288*(1-MAX(0,IF(P56&gt;0,P56*(0.3+0.7*$K$94),P56))))))^Parameter!$B$38)^Parameter!$B$40-P328</f>
        <v/>
      </c>
      <c r="Q347" s="265" t="n">
        <v>0</v>
      </c>
      <c r="R347" s="265" t="n">
        <v>0</v>
      </c>
      <c r="S347" s="265">
        <f>S84/100*((Parameter!$B$36/100/MAX(Parameter!$B$37,1-MIN(1,(1-(1-S95)^((S323*(1-MIN(0,S56)))^Parameter!$B$39))*S288*(1-MAX(0,S56)))))^Parameter!$B$38)^Parameter!$B$40-S328</f>
        <v/>
      </c>
      <c r="T347" s="265">
        <f>T84/100*((Parameter!$B$36/100/MAX(Parameter!$B$37,1-MIN(1,(1-(1-T95)^((T323*(1-MIN(0,T56)))^Parameter!$B$39))*T288*(1-MAX(0,IF(T56&gt;0,T56*(0.35+0.65*$L$94),T56))))))^Parameter!$B$38)^Parameter!$B$40-T328</f>
        <v/>
      </c>
      <c r="U347" s="265" t="n">
        <v>0</v>
      </c>
      <c r="V347" s="265" t="n">
        <v>0</v>
      </c>
    </row>
    <row r="348" hidden="1" outlineLevel="1">
      <c r="A348" s="222" t="inlineStr">
        <is>
          <t>· Salzreduktion</t>
        </is>
      </c>
      <c r="G348" s="265" t="n">
        <v>0</v>
      </c>
      <c r="H348" s="265" t="n">
        <v>0</v>
      </c>
      <c r="I348" s="265" t="n">
        <v>0</v>
      </c>
      <c r="J348" s="265">
        <f>J84/100*((Parameter!$B$36/100/MAX(Parameter!$B$37,1-MIN(1,(1-(1-J95)^((J323*(1-MIN(0,J57)))^Parameter!$B$39))*J288*(1-MAX(0,IF(J57&gt;0,J57*(0.1+0.9*$G$94),J57))))))^Parameter!$B$38)^Parameter!$B$40-J328</f>
        <v/>
      </c>
      <c r="K348" s="265" t="n">
        <v>0</v>
      </c>
      <c r="L348" s="265" t="n">
        <v>0</v>
      </c>
      <c r="M348" s="265" t="n">
        <v>0</v>
      </c>
      <c r="N348" s="265" t="n">
        <v>0</v>
      </c>
      <c r="O348" s="265">
        <f>O84/100*((Parameter!$B$36/100/MAX(Parameter!$B$37,1-MIN(1,(1-(1-O95)^((O323*(1-MIN(0,O57)))^Parameter!$B$39))*O288*(1-MAX(0,IF(O57&gt;0,O57*(0.2+0.8*$G$94),O57))))))^Parameter!$B$38)^Parameter!$B$40-O328</f>
        <v/>
      </c>
      <c r="P348" s="265" t="n">
        <v>0</v>
      </c>
      <c r="Q348" s="265" t="n">
        <v>0</v>
      </c>
      <c r="R348" s="265" t="n">
        <v>0</v>
      </c>
      <c r="S348" s="265" t="n">
        <v>0</v>
      </c>
      <c r="T348" s="265" t="n">
        <v>0</v>
      </c>
      <c r="U348" s="265" t="n">
        <v>0</v>
      </c>
      <c r="V348" s="265" t="n">
        <v>0</v>
      </c>
    </row>
    <row r="349" hidden="1" outlineLevel="1">
      <c r="A349" s="222" t="inlineStr">
        <is>
          <t>· Aromatasehemmer</t>
        </is>
      </c>
      <c r="G349" s="265" t="n">
        <v>0</v>
      </c>
      <c r="H349" s="265">
        <f>H84/100*((Parameter!$B$36/100/MAX(Parameter!$B$37,1-MIN(1,(1-(1-H95)^((H323*(1-MIN(0,H58)))^Parameter!$B$39))*H288*(1-MAX(0,H58)))))^Parameter!$B$38)^Parameter!$B$40-H328</f>
        <v/>
      </c>
      <c r="I349" s="265" t="n">
        <v>0</v>
      </c>
      <c r="J349" s="265" t="n">
        <v>0</v>
      </c>
      <c r="K349" s="265" t="n">
        <v>0</v>
      </c>
      <c r="L349" s="265" t="n">
        <v>0</v>
      </c>
      <c r="M349" s="265" t="n">
        <v>0</v>
      </c>
      <c r="N349" s="265">
        <f>N84/100*((Parameter!$B$36/100/MAX(Parameter!$B$37,1-MIN(1,(1-(1-N95)^((N323*(1-MIN(0,N58)))^Parameter!$B$39))*N288*(1-MAX(0,N58)))))^Parameter!$B$38)^Parameter!$B$40-N328</f>
        <v/>
      </c>
      <c r="O349" s="265" t="n">
        <v>0</v>
      </c>
      <c r="P349" s="265" t="n">
        <v>0</v>
      </c>
      <c r="Q349" s="265" t="n">
        <v>0</v>
      </c>
      <c r="R349" s="265" t="n">
        <v>0</v>
      </c>
      <c r="S349" s="265" t="n">
        <v>0</v>
      </c>
      <c r="T349" s="265" t="n">
        <v>0</v>
      </c>
      <c r="U349" s="265" t="n">
        <v>0</v>
      </c>
      <c r="V349" s="265">
        <f>V84/100*((Parameter!$B$36/100/MAX(Parameter!$B$37,1-MIN(1,(1-(1-V95)^((V323*(1-MIN(0,V58)))^Parameter!$B$39))*V288*(1-MAX(0,V58)))))^Parameter!$B$38)^Parameter!$B$40-V328</f>
        <v/>
      </c>
    </row>
    <row r="350" hidden="1" outlineLevel="1">
      <c r="A350" s="222" t="inlineStr">
        <is>
          <t>· 5-alpha-Reduktase-Hemmer</t>
        </is>
      </c>
      <c r="G350" s="265" t="n">
        <v>0</v>
      </c>
      <c r="H350" s="265" t="n">
        <v>0</v>
      </c>
      <c r="I350" s="265" t="n">
        <v>0</v>
      </c>
      <c r="J350" s="265" t="n">
        <v>0</v>
      </c>
      <c r="K350" s="265">
        <f>K84/100*((Parameter!$B$36/100/MAX(Parameter!$B$37,1-MIN(1,(1-(1-K95)^((K323*(1-MIN(0,K59)))^Parameter!$B$39))*K288*(1-MAX(0,K59)))))^Parameter!$B$38)^Parameter!$B$40-K328</f>
        <v/>
      </c>
      <c r="L350" s="265" t="n">
        <v>0</v>
      </c>
      <c r="M350" s="265" t="n">
        <v>0</v>
      </c>
      <c r="N350" s="265">
        <f>N84/100*((Parameter!$B$36/100/MAX(Parameter!$B$37,1-MIN(1,(1-(1-N95)^((N323*(1-MIN(0,N59)))^Parameter!$B$39))*N288*(1-MAX(0,N59)))))^Parameter!$B$38)^Parameter!$B$40-N328</f>
        <v/>
      </c>
      <c r="O350" s="265" t="n">
        <v>0</v>
      </c>
      <c r="P350" s="265" t="n">
        <v>0</v>
      </c>
      <c r="Q350" s="265" t="n">
        <v>0</v>
      </c>
      <c r="R350" s="265" t="n">
        <v>0</v>
      </c>
      <c r="S350" s="265" t="n">
        <v>0</v>
      </c>
      <c r="T350" s="265" t="n">
        <v>0</v>
      </c>
      <c r="U350" s="265" t="n">
        <v>0</v>
      </c>
      <c r="V350" s="265" t="n">
        <v>0</v>
      </c>
    </row>
    <row r="351" hidden="1" outlineLevel="1">
      <c r="A351" s="222" t="inlineStr">
        <is>
          <t>· ASS niedrig dosiert</t>
        </is>
      </c>
      <c r="G351" s="265" t="n">
        <v>0</v>
      </c>
      <c r="H351" s="265" t="n">
        <v>0</v>
      </c>
      <c r="I351" s="265" t="n">
        <v>0</v>
      </c>
      <c r="J351" s="265" t="n">
        <v>0</v>
      </c>
      <c r="K351" s="265" t="n">
        <v>0</v>
      </c>
      <c r="L351" s="265">
        <f>L84/100*((Parameter!$B$36/100/MAX(Parameter!$B$37,1-MIN(1,(1-(1-L95)^((L323*(1-MIN(0,L60)))^Parameter!$B$39))*L288*(1-MAX(0,L60)))))^Parameter!$B$38)^Parameter!$B$40-L328</f>
        <v/>
      </c>
      <c r="M351" s="265">
        <f>M84/100*((Parameter!$B$36/100/MAX(Parameter!$B$37,1-MIN(1,(1-(1-M95)^((M323*(1-MIN(0,M60)))^Parameter!$B$39))*M288*(1-MAX(0,M60)))))^Parameter!$B$38)^Parameter!$B$40-M328</f>
        <v/>
      </c>
      <c r="N351" s="265" t="n">
        <v>0</v>
      </c>
      <c r="O351" s="265" t="n">
        <v>0</v>
      </c>
      <c r="P351" s="265" t="n">
        <v>0</v>
      </c>
      <c r="Q351" s="265" t="n">
        <v>0</v>
      </c>
      <c r="R351" s="265" t="n">
        <v>0</v>
      </c>
      <c r="S351" s="265" t="n">
        <v>0</v>
      </c>
      <c r="T351" s="265" t="n">
        <v>0</v>
      </c>
      <c r="U351" s="265" t="n">
        <v>0</v>
      </c>
      <c r="V351" s="265" t="n">
        <v>0</v>
      </c>
    </row>
    <row r="352" hidden="1" outlineLevel="1">
      <c r="A352" s="222" t="inlineStr">
        <is>
          <t>· Cabergolin oder P5P</t>
        </is>
      </c>
      <c r="G352" s="265" t="n">
        <v>0</v>
      </c>
      <c r="H352" s="265" t="n">
        <v>0</v>
      </c>
      <c r="I352" s="265" t="n">
        <v>0</v>
      </c>
      <c r="J352" s="265" t="n">
        <v>0</v>
      </c>
      <c r="K352" s="265" t="n">
        <v>0</v>
      </c>
      <c r="L352" s="265" t="n">
        <v>0</v>
      </c>
      <c r="M352" s="265" t="n">
        <v>0</v>
      </c>
      <c r="N352" s="265">
        <f>N84/100*((Parameter!$B$36/100/MAX(Parameter!$B$37,1-MIN(1,(1-(1-N95)^((N323*(1-MIN(0,N61)))^Parameter!$B$39))*N288*(1-MAX(0,N61)))))^Parameter!$B$38)^Parameter!$B$40-N328</f>
        <v/>
      </c>
      <c r="O352" s="265" t="n">
        <v>0</v>
      </c>
      <c r="P352" s="265" t="n">
        <v>0</v>
      </c>
      <c r="Q352" s="265" t="n">
        <v>0</v>
      </c>
      <c r="R352" s="265" t="n">
        <v>0</v>
      </c>
      <c r="S352" s="265" t="n">
        <v>0</v>
      </c>
      <c r="T352" s="265" t="n">
        <v>0</v>
      </c>
      <c r="U352" s="265" t="n">
        <v>0</v>
      </c>
      <c r="V352" s="265" t="n">
        <v>0</v>
      </c>
    </row>
    <row r="353" hidden="1" outlineLevel="1">
      <c r="A353" s="222" t="inlineStr">
        <is>
          <t>· SERM (Tamoxifen, Raloxifen, Enclomifen)</t>
        </is>
      </c>
      <c r="G353" s="265" t="n">
        <v>0</v>
      </c>
      <c r="H353" s="265" t="n">
        <v>0</v>
      </c>
      <c r="I353" s="265" t="n">
        <v>0</v>
      </c>
      <c r="J353" s="265" t="n">
        <v>0</v>
      </c>
      <c r="K353" s="265" t="n">
        <v>0</v>
      </c>
      <c r="L353" s="265" t="n">
        <v>0</v>
      </c>
      <c r="M353" s="265" t="n">
        <v>0</v>
      </c>
      <c r="N353" s="265">
        <f>N84/100*((Parameter!$B$36/100/MAX(Parameter!$B$37,1-MIN(1,(1-(1-N95)^((N323*(1-MIN(0,N62)))^Parameter!$B$39))*N288*(1-MAX(0,N62)))))^Parameter!$B$38)^Parameter!$B$40-N328</f>
        <v/>
      </c>
      <c r="O353" s="265" t="n">
        <v>0</v>
      </c>
      <c r="P353" s="265" t="n">
        <v>0</v>
      </c>
      <c r="Q353" s="265" t="n">
        <v>0</v>
      </c>
      <c r="R353" s="265" t="n">
        <v>0</v>
      </c>
      <c r="S353" s="265" t="n">
        <v>0</v>
      </c>
      <c r="T353" s="265" t="n">
        <v>0</v>
      </c>
      <c r="U353" s="265" t="n">
        <v>0</v>
      </c>
      <c r="V353" s="265">
        <f>V84/100*((Parameter!$B$36/100/MAX(Parameter!$B$37,1-MIN(1,(1-(1-V95)^((V323*(1-MIN(0,V62)))^Parameter!$B$39))*V288*(1-MAX(0,V62)))))^Parameter!$B$38)^Parameter!$B$40-V328</f>
        <v/>
      </c>
    </row>
    <row r="354"/>
    <row r="355" ht="44.5" customHeight="1">
      <c r="A355" s="146" t="inlineStr">
        <is>
          <t>ZIELWERTE: die dritte Zahl setzt voraus, dass die Massnahme bei DIR wirkt. Ein Statin senkt LDL im Mittel um 40 bis 55 Prozent - es gibt aber Non-Responder, und wer bei 2,8 mmol/l haengen bleibt, hat die Punkte nicht verdient, sondern nur angekreuzt. Deshalb steht in der Spalte 'Punkte gibt es erst, wenn' der Wert, den das naechste Blutbild zeigen muss. Sobald er da ist, traegt man ihn oben unter Punkt 2 ein - dann wandert der Gewinn von der dritten in die zweite Zahl, wo er hingehoert.</t>
        </is>
      </c>
    </row>
  </sheetData>
  <mergeCells count="59">
    <mergeCell ref="A34:E34"/>
    <mergeCell ref="A24:B24"/>
    <mergeCell ref="C17:F17"/>
    <mergeCell ref="C23:F23"/>
    <mergeCell ref="G7:X7"/>
    <mergeCell ref="C8:F8"/>
    <mergeCell ref="A355:X355"/>
    <mergeCell ref="B1:D1"/>
    <mergeCell ref="C7:F7"/>
    <mergeCell ref="G6:X6"/>
    <mergeCell ref="O17:X17"/>
    <mergeCell ref="A36:E36"/>
    <mergeCell ref="C19:F19"/>
    <mergeCell ref="G23:N23"/>
    <mergeCell ref="C13:F13"/>
    <mergeCell ref="A3:X3"/>
    <mergeCell ref="C18:F18"/>
    <mergeCell ref="O14:X14"/>
    <mergeCell ref="G17:N17"/>
    <mergeCell ref="A12:X12"/>
    <mergeCell ref="O23:X25"/>
    <mergeCell ref="A25:B25"/>
    <mergeCell ref="O13:X13"/>
    <mergeCell ref="A2:X2"/>
    <mergeCell ref="C6:F6"/>
    <mergeCell ref="G19:N19"/>
    <mergeCell ref="C15:F15"/>
    <mergeCell ref="A37:E37"/>
    <mergeCell ref="G13:N13"/>
    <mergeCell ref="C24:F24"/>
    <mergeCell ref="O19:X19"/>
    <mergeCell ref="C14:F14"/>
    <mergeCell ref="O15:X15"/>
    <mergeCell ref="A4:R4"/>
    <mergeCell ref="G18:N18"/>
    <mergeCell ref="O18:X18"/>
    <mergeCell ref="A29:X29"/>
    <mergeCell ref="G15:N15"/>
    <mergeCell ref="C20:F20"/>
    <mergeCell ref="A28:X28"/>
    <mergeCell ref="A33:E33"/>
    <mergeCell ref="G24:N24"/>
    <mergeCell ref="C16:F16"/>
    <mergeCell ref="G14:N14"/>
    <mergeCell ref="O20:X20"/>
    <mergeCell ref="A32:E32"/>
    <mergeCell ref="G9:X9"/>
    <mergeCell ref="A23:B23"/>
    <mergeCell ref="A31:X31"/>
    <mergeCell ref="C25:F25"/>
    <mergeCell ref="E1:K1"/>
    <mergeCell ref="C9:F9"/>
    <mergeCell ref="A30:X30"/>
    <mergeCell ref="G20:N20"/>
    <mergeCell ref="A35:E35"/>
    <mergeCell ref="G25:N25"/>
    <mergeCell ref="G16:N16"/>
    <mergeCell ref="O16:X16"/>
    <mergeCell ref="G8:X8"/>
  </mergeCells>
  <conditionalFormatting sqref="F40:F81">
    <cfRule type="colorScale" priority="1">
      <colorScale>
        <cfvo type="num" val="0"/>
        <cfvo type="max"/>
        <color rgb="00FFFFFF"/>
        <color rgb="0063BE7B"/>
      </colorScale>
    </cfRule>
  </conditionalFormatting>
  <conditionalFormatting sqref="G39:V39">
    <cfRule type="expression" priority="2" dxfId="0" stopIfTrue="0">
      <formula>G$329&gt;=LARGE($G$329:$V$329,3)</formula>
    </cfRule>
  </conditionalFormatting>
  <dataValidations count="11">
    <dataValidation sqref="B40:C81" showDropDown="0" showInputMessage="0" showErrorMessage="0" allowBlank="1" type="list">
      <formula1>"x"</formula1>
    </dataValidation>
    <dataValidation sqref="C6" showDropDown="0" showInputMessage="0" showErrorMessage="0" allowBlank="0" type="list">
      <formula1>$Z$1:$Z$5</formula1>
    </dataValidation>
    <dataValidation sqref="C7" showDropDown="0" showInputMessage="0" showErrorMessage="0" allowBlank="0" type="list">
      <formula1>$Z$7:$Z$8</formula1>
    </dataValidation>
    <dataValidation sqref="C8" showDropDown="0" showInputMessage="0" showErrorMessage="0" allowBlank="0" type="list">
      <formula1>$Z$10:$Z$13</formula1>
    </dataValidation>
    <dataValidation sqref="C14" showDropDown="0" showInputMessage="0" showErrorMessage="0" allowBlank="1" type="list">
      <formula1>$Z$15:$Z$19</formula1>
    </dataValidation>
    <dataValidation sqref="C15" showDropDown="0" showInputMessage="0" showErrorMessage="0" allowBlank="1" type="list">
      <formula1>$Z$21:$Z$25</formula1>
    </dataValidation>
    <dataValidation sqref="C16" showDropDown="0" showInputMessage="0" showErrorMessage="0" allowBlank="1" type="list">
      <formula1>$Z$27:$Z$31</formula1>
    </dataValidation>
    <dataValidation sqref="C17" showDropDown="0" showInputMessage="0" showErrorMessage="0" allowBlank="1" type="list">
      <formula1>$Z$33:$Z$37</formula1>
    </dataValidation>
    <dataValidation sqref="C18" showDropDown="0" showInputMessage="0" showErrorMessage="0" allowBlank="1" type="list">
      <formula1>$Z$39:$Z$43</formula1>
    </dataValidation>
    <dataValidation sqref="C19" showDropDown="0" showInputMessage="0" showErrorMessage="0" allowBlank="1" type="list">
      <formula1>$Z$45:$Z$49</formula1>
    </dataValidation>
    <dataValidation sqref="C20" showDropDown="0" showInputMessage="0" showErrorMessage="0" allowBlank="1" type="list">
      <formula1>$Z$51:$Z$55</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M505"/>
  <sheetViews>
    <sheetView workbookViewId="0"/>
  </sheetViews>
  <sheetFormatPr baseColWidth="8" defaultRowHeight="15"/>
  <cols>
    <col width="34"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hidden="1" width="10" customWidth="1" min="11" max="11"/>
    <col hidden="1"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40" customWidth="1" min="31" max="31"/>
    <col width="54" customWidth="1" min="32" max="32"/>
  </cols>
  <sheetData>
    <row r="1">
      <c r="A1" s="273" t="inlineStr">
        <is>
          <t>Parameter - hier laesst sich alles nachjustieren</t>
        </is>
      </c>
    </row>
    <row r="2" ht="30.5" customHeight="1">
      <c r="A2" s="146" t="inlineStr">
        <is>
          <t>Spalte B ist die Stellschraube, Spalte C nennt den Wert, mit dem ausgeliefert wurde. Wer sich verstellt hat, traegt einfach den Default wieder ein. Der Stack-Planer rechnet direkt mit Spalte B - jede Aenderung wirkt sofort. Was NICHT hier steht: die Wirkfaktoren der Substanzen (Block Matrix weiter unten) und ihre Kopplung (Block Kopplung weiter unten).</t>
        </is>
      </c>
    </row>
    <row r="3" ht="16.5" customHeight="1">
      <c r="A3" s="146" t="inlineStr">
        <is>
          <t>Die Werte sind gesetzt, nicht gemessen. Sie beruhen auf durchschnittlichen Effektstaerken aus Studien und auf Einschaetzung, wo es keine Studien gibt. Wer sie fuer zu milde oder zu hart haelt, hat moeglicherweise recht - deshalb stehen sie hier und nicht im Programmcode.</t>
        </is>
      </c>
    </row>
    <row r="4"/>
    <row r="5">
      <c r="A5" s="274" t="inlineStr">
        <is>
          <t>1. Gesamt-Load</t>
        </is>
      </c>
    </row>
    <row r="6" ht="14" customHeight="1">
      <c r="A6" s="275" t="inlineStr">
        <is>
          <t>Multiplikator auf den Belastungsindex. Er wirkt auf den UEBERSCHUSS ueber 1, nicht auf den ganzen Wert: effektiv = 1 + (Load - 1) * Art * Dauer * Alter. Deshalb bleibt Natty/TRT immer bei 1,00 - das ist die Grundlinie, gegen die alles andere gerechnet wird.</t>
        </is>
      </c>
    </row>
    <row r="7" ht="20" customHeight="1">
      <c r="A7" s="76" t="inlineStr">
        <is>
          <t>Stufe oder Groesse</t>
        </is>
      </c>
      <c r="B7" s="76" t="inlineStr">
        <is>
          <t>Wert</t>
        </is>
      </c>
      <c r="C7" s="76" t="inlineStr">
        <is>
          <t>Default</t>
        </is>
      </c>
      <c r="D7" s="76" t="inlineStr">
        <is>
          <t>Bedeutung</t>
        </is>
      </c>
      <c r="E7" s="218" t="n"/>
      <c r="F7" s="218" t="n"/>
      <c r="G7" s="218" t="n"/>
      <c r="H7" s="218" t="n"/>
      <c r="I7" s="218" t="n"/>
      <c r="J7" s="218" t="n"/>
      <c r="K7" s="218" t="n"/>
      <c r="L7" s="218" t="n"/>
      <c r="M7" s="218" t="n"/>
      <c r="N7" s="218" t="n"/>
      <c r="O7" s="218" t="n"/>
      <c r="P7" s="218" t="n"/>
      <c r="Q7" s="218" t="n"/>
      <c r="R7" s="218" t="n"/>
      <c r="S7" s="218" t="n"/>
      <c r="T7" s="218" t="n"/>
      <c r="U7" s="218" t="n"/>
      <c r="V7" s="218" t="n"/>
      <c r="W7" s="218" t="n"/>
      <c r="X7" s="218" t="n"/>
      <c r="Y7" s="218" t="n"/>
      <c r="Z7" s="218" t="n"/>
      <c r="AA7" s="218" t="n"/>
      <c r="AB7" s="218" t="n"/>
      <c r="AC7" s="218" t="n"/>
      <c r="AD7" s="219" t="n"/>
    </row>
    <row r="8" ht="15" customHeight="1">
      <c r="A8" s="276" t="inlineStr">
        <is>
          <t>Natty oder TRT (400-1000 ng/dl)</t>
        </is>
      </c>
      <c r="B8" s="277" t="n">
        <v>1</v>
      </c>
      <c r="C8" s="278" t="n">
        <v>1</v>
      </c>
      <c r="D8" s="279" t="inlineStr">
        <is>
          <t>Grundlinie, hier passiert nichts.</t>
        </is>
      </c>
      <c r="E8" s="218" t="n"/>
      <c r="F8" s="218" t="n"/>
      <c r="G8" s="218" t="n"/>
      <c r="H8" s="218" t="n"/>
      <c r="I8" s="218" t="n"/>
      <c r="J8" s="218" t="n"/>
      <c r="K8" s="218" t="n"/>
      <c r="L8" s="218" t="n"/>
      <c r="M8" s="218" t="n"/>
      <c r="N8" s="218" t="n"/>
      <c r="O8" s="218" t="n"/>
      <c r="P8" s="218" t="n"/>
      <c r="Q8" s="218" t="n"/>
      <c r="R8" s="218" t="n"/>
      <c r="S8" s="218" t="n"/>
      <c r="T8" s="218" t="n"/>
      <c r="U8" s="218" t="n"/>
      <c r="V8" s="218" t="n"/>
      <c r="W8" s="218" t="n"/>
      <c r="X8" s="218" t="n"/>
      <c r="Y8" s="218" t="n"/>
      <c r="Z8" s="218" t="n"/>
      <c r="AA8" s="218" t="n"/>
      <c r="AB8" s="218" t="n"/>
      <c r="AC8" s="218" t="n"/>
      <c r="AD8" s="219" t="n"/>
    </row>
    <row r="9" ht="15" customHeight="1">
      <c r="A9" s="276" t="inlineStr">
        <is>
          <t>TRT plus (1000-1400 ng/dl)</t>
        </is>
      </c>
      <c r="B9" s="277" t="n">
        <v>2.1</v>
      </c>
      <c r="C9" s="278" t="n">
        <v>2.1</v>
      </c>
      <c r="D9" s="279" t="inlineStr">
        <is>
          <t>Belastung dieser Stufe gegenueber der Grundlinie.</t>
        </is>
      </c>
      <c r="E9" s="218" t="n"/>
      <c r="F9" s="218" t="n"/>
      <c r="G9" s="218" t="n"/>
      <c r="H9" s="218" t="n"/>
      <c r="I9" s="218" t="n"/>
      <c r="J9" s="218" t="n"/>
      <c r="K9" s="218" t="n"/>
      <c r="L9" s="218" t="n"/>
      <c r="M9" s="218" t="n"/>
      <c r="N9" s="218" t="n"/>
      <c r="O9" s="218" t="n"/>
      <c r="P9" s="218" t="n"/>
      <c r="Q9" s="218" t="n"/>
      <c r="R9" s="218" t="n"/>
      <c r="S9" s="218" t="n"/>
      <c r="T9" s="218" t="n"/>
      <c r="U9" s="218" t="n"/>
      <c r="V9" s="218" t="n"/>
      <c r="W9" s="218" t="n"/>
      <c r="X9" s="218" t="n"/>
      <c r="Y9" s="218" t="n"/>
      <c r="Z9" s="218" t="n"/>
      <c r="AA9" s="218" t="n"/>
      <c r="AB9" s="218" t="n"/>
      <c r="AC9" s="218" t="n"/>
      <c r="AD9" s="219" t="n"/>
    </row>
    <row r="10" ht="15" customHeight="1">
      <c r="A10" s="276" t="inlineStr">
        <is>
          <t>Blast moderat (250-350 mg/Woche)</t>
        </is>
      </c>
      <c r="B10" s="277" t="n">
        <v>3</v>
      </c>
      <c r="C10" s="278" t="n">
        <v>3</v>
      </c>
      <c r="D10" s="279" t="inlineStr">
        <is>
          <t>Belastung dieser Stufe gegenueber der Grundlinie.</t>
        </is>
      </c>
      <c r="E10" s="218" t="n"/>
      <c r="F10" s="218" t="n"/>
      <c r="G10" s="218" t="n"/>
      <c r="H10" s="218" t="n"/>
      <c r="I10" s="218" t="n"/>
      <c r="J10" s="218" t="n"/>
      <c r="K10" s="218" t="n"/>
      <c r="L10" s="218" t="n"/>
      <c r="M10" s="218" t="n"/>
      <c r="N10" s="218" t="n"/>
      <c r="O10" s="218" t="n"/>
      <c r="P10" s="218" t="n"/>
      <c r="Q10" s="218" t="n"/>
      <c r="R10" s="218" t="n"/>
      <c r="S10" s="218" t="n"/>
      <c r="T10" s="218" t="n"/>
      <c r="U10" s="218" t="n"/>
      <c r="V10" s="218" t="n"/>
      <c r="W10" s="218" t="n"/>
      <c r="X10" s="218" t="n"/>
      <c r="Y10" s="218" t="n"/>
      <c r="Z10" s="218" t="n"/>
      <c r="AA10" s="218" t="n"/>
      <c r="AB10" s="218" t="n"/>
      <c r="AC10" s="218" t="n"/>
      <c r="AD10" s="219" t="n"/>
    </row>
    <row r="11" ht="23.5" customHeight="1">
      <c r="A11" s="276" t="inlineStr">
        <is>
          <t>Blast fortgeschritten (500-750 mg/Woche)</t>
        </is>
      </c>
      <c r="B11" s="277" t="n">
        <v>5</v>
      </c>
      <c r="C11" s="278" t="n">
        <v>5</v>
      </c>
      <c r="D11" s="279" t="inlineStr">
        <is>
          <t>Belastung dieser Stufe gegenueber der Grundlinie.</t>
        </is>
      </c>
      <c r="E11" s="218" t="n"/>
      <c r="F11" s="218" t="n"/>
      <c r="G11" s="218" t="n"/>
      <c r="H11" s="218" t="n"/>
      <c r="I11" s="218" t="n"/>
      <c r="J11" s="218" t="n"/>
      <c r="K11" s="218" t="n"/>
      <c r="L11" s="218" t="n"/>
      <c r="M11" s="218" t="n"/>
      <c r="N11" s="218" t="n"/>
      <c r="O11" s="218" t="n"/>
      <c r="P11" s="218" t="n"/>
      <c r="Q11" s="218" t="n"/>
      <c r="R11" s="218" t="n"/>
      <c r="S11" s="218" t="n"/>
      <c r="T11" s="218" t="n"/>
      <c r="U11" s="218" t="n"/>
      <c r="V11" s="218" t="n"/>
      <c r="W11" s="218" t="n"/>
      <c r="X11" s="218" t="n"/>
      <c r="Y11" s="218" t="n"/>
      <c r="Z11" s="218" t="n"/>
      <c r="AA11" s="218" t="n"/>
      <c r="AB11" s="218" t="n"/>
      <c r="AC11" s="218" t="n"/>
      <c r="AD11" s="219" t="n"/>
    </row>
    <row r="12" ht="15" customHeight="1">
      <c r="A12" s="276" t="inlineStr">
        <is>
          <t>Blast Profi (1 g und mehr)</t>
        </is>
      </c>
      <c r="B12" s="277" t="n">
        <v>8</v>
      </c>
      <c r="C12" s="278" t="n">
        <v>8</v>
      </c>
      <c r="D12" s="279" t="inlineStr">
        <is>
          <t>Belastung dieser Stufe gegenueber der Grundlinie.</t>
        </is>
      </c>
      <c r="E12" s="218" t="n"/>
      <c r="F12" s="218" t="n"/>
      <c r="G12" s="218" t="n"/>
      <c r="H12" s="218" t="n"/>
      <c r="I12" s="218" t="n"/>
      <c r="J12" s="218" t="n"/>
      <c r="K12" s="218" t="n"/>
      <c r="L12" s="218" t="n"/>
      <c r="M12" s="218" t="n"/>
      <c r="N12" s="218" t="n"/>
      <c r="O12" s="218" t="n"/>
      <c r="P12" s="218" t="n"/>
      <c r="Q12" s="218" t="n"/>
      <c r="R12" s="218" t="n"/>
      <c r="S12" s="218" t="n"/>
      <c r="T12" s="218" t="n"/>
      <c r="U12" s="218" t="n"/>
      <c r="V12" s="218" t="n"/>
      <c r="W12" s="218" t="n"/>
      <c r="X12" s="218" t="n"/>
      <c r="Y12" s="218" t="n"/>
      <c r="Z12" s="218" t="n"/>
      <c r="AA12" s="218" t="n"/>
      <c r="AB12" s="218" t="n"/>
      <c r="AC12" s="218" t="n"/>
      <c r="AD12" s="219" t="n"/>
    </row>
    <row r="13">
      <c r="A13" s="274" t="inlineStr">
        <is>
          <t>2. Anwendungsart</t>
        </is>
      </c>
    </row>
    <row r="14" ht="14" customHeight="1">
      <c r="A14" s="275" t="inlineStr">
        <is>
          <t>Daempft oder verstaerkt den Load-Ueberschuss. Ab Natty/TRT ohne Wirkung, weil es dort keinen Ueberschuss gibt.</t>
        </is>
      </c>
    </row>
    <row r="15" ht="20" customHeight="1">
      <c r="A15" s="76" t="inlineStr">
        <is>
          <t>Stufe oder Groesse</t>
        </is>
      </c>
      <c r="B15" s="76" t="inlineStr">
        <is>
          <t>Wert</t>
        </is>
      </c>
      <c r="C15" s="76" t="inlineStr">
        <is>
          <t>Default</t>
        </is>
      </c>
      <c r="D15" s="76" t="inlineStr">
        <is>
          <t>Bedeutung</t>
        </is>
      </c>
      <c r="E15" s="218" t="n"/>
      <c r="F15" s="218" t="n"/>
      <c r="G15" s="218" t="n"/>
      <c r="H15" s="218" t="n"/>
      <c r="I15" s="218" t="n"/>
      <c r="J15" s="218" t="n"/>
      <c r="K15" s="218" t="n"/>
      <c r="L15" s="218" t="n"/>
      <c r="M15" s="218" t="n"/>
      <c r="N15" s="218" t="n"/>
      <c r="O15" s="218" t="n"/>
      <c r="P15" s="218" t="n"/>
      <c r="Q15" s="218" t="n"/>
      <c r="R15" s="218" t="n"/>
      <c r="S15" s="218" t="n"/>
      <c r="T15" s="218" t="n"/>
      <c r="U15" s="218" t="n"/>
      <c r="V15" s="218" t="n"/>
      <c r="W15" s="218" t="n"/>
      <c r="X15" s="218" t="n"/>
      <c r="Y15" s="218" t="n"/>
      <c r="Z15" s="218" t="n"/>
      <c r="AA15" s="218" t="n"/>
      <c r="AB15" s="218" t="n"/>
      <c r="AC15" s="218" t="n"/>
      <c r="AD15" s="219" t="n"/>
    </row>
    <row r="16" ht="15" customHeight="1">
      <c r="A16" s="276" t="inlineStr">
        <is>
          <t>Dauerblast (durchgehend)</t>
        </is>
      </c>
      <c r="B16" s="277" t="n">
        <v>1</v>
      </c>
      <c r="C16" s="278" t="n">
        <v>1</v>
      </c>
      <c r="D16" s="279" t="inlineStr">
        <is>
          <t>Durchgehend, kein Erholungsfenster.</t>
        </is>
      </c>
      <c r="E16" s="218" t="n"/>
      <c r="F16" s="218" t="n"/>
      <c r="G16" s="218" t="n"/>
      <c r="H16" s="218" t="n"/>
      <c r="I16" s="218" t="n"/>
      <c r="J16" s="218" t="n"/>
      <c r="K16" s="218" t="n"/>
      <c r="L16" s="218" t="n"/>
      <c r="M16" s="218" t="n"/>
      <c r="N16" s="218" t="n"/>
      <c r="O16" s="218" t="n"/>
      <c r="P16" s="218" t="n"/>
      <c r="Q16" s="218" t="n"/>
      <c r="R16" s="218" t="n"/>
      <c r="S16" s="218" t="n"/>
      <c r="T16" s="218" t="n"/>
      <c r="U16" s="218" t="n"/>
      <c r="V16" s="218" t="n"/>
      <c r="W16" s="218" t="n"/>
      <c r="X16" s="218" t="n"/>
      <c r="Y16" s="218" t="n"/>
      <c r="Z16" s="218" t="n"/>
      <c r="AA16" s="218" t="n"/>
      <c r="AB16" s="218" t="n"/>
      <c r="AC16" s="218" t="n"/>
      <c r="AD16" s="219" t="n"/>
    </row>
    <row r="17" ht="23.5" customHeight="1">
      <c r="A17" s="276" t="inlineStr">
        <is>
          <t>Blast and Cruise (Time On = Time Off)</t>
        </is>
      </c>
      <c r="B17" s="277" t="n">
        <v>0.6</v>
      </c>
      <c r="C17" s="278" t="n">
        <v>0.6</v>
      </c>
      <c r="D17" s="279" t="inlineStr">
        <is>
          <t>Nur wenn die Pause so lang ist wie der Block, mit echtem TRT dazwischen.</t>
        </is>
      </c>
      <c r="E17" s="218" t="n"/>
      <c r="F17" s="218" t="n"/>
      <c r="G17" s="218" t="n"/>
      <c r="H17" s="218" t="n"/>
      <c r="I17" s="218" t="n"/>
      <c r="J17" s="218" t="n"/>
      <c r="K17" s="218" t="n"/>
      <c r="L17" s="218" t="n"/>
      <c r="M17" s="218" t="n"/>
      <c r="N17" s="218" t="n"/>
      <c r="O17" s="218" t="n"/>
      <c r="P17" s="218" t="n"/>
      <c r="Q17" s="218" t="n"/>
      <c r="R17" s="218" t="n"/>
      <c r="S17" s="218" t="n"/>
      <c r="T17" s="218" t="n"/>
      <c r="U17" s="218" t="n"/>
      <c r="V17" s="218" t="n"/>
      <c r="W17" s="218" t="n"/>
      <c r="X17" s="218" t="n"/>
      <c r="Y17" s="218" t="n"/>
      <c r="Z17" s="218" t="n"/>
      <c r="AA17" s="218" t="n"/>
      <c r="AB17" s="218" t="n"/>
      <c r="AC17" s="218" t="n"/>
      <c r="AD17" s="219" t="n"/>
    </row>
    <row r="18">
      <c r="A18" s="274" t="inlineStr">
        <is>
          <t>3. Geplante Anwendungsdauer</t>
        </is>
      </c>
    </row>
    <row r="19" ht="25.5" customHeight="1">
      <c r="A19" s="275" t="inlineStr">
        <is>
          <t>Nur noch die Anzahl Jahre - kein eigener Daempfungsfaktor mehr. Die Dauer wirkt ueber die Jahres-Tabelle auf dem Block Lebensuhr weiter unten: jedes Jahr unter Last kostet einzeln, und zwar mit dem Jahresfaktor des Alters, in dem man es verbringt. Deshalb ist ein Jahr mit 55 teurer als eines mit 25, ohne dass irgendwo eine Altersstufe eingestellt werden muesste.</t>
        </is>
      </c>
    </row>
    <row r="20" ht="20" customHeight="1">
      <c r="A20" s="76" t="inlineStr">
        <is>
          <t>Stufe oder Groesse</t>
        </is>
      </c>
      <c r="B20" s="76" t="inlineStr">
        <is>
          <t>Wert</t>
        </is>
      </c>
      <c r="C20" s="76" t="inlineStr">
        <is>
          <t>Default</t>
        </is>
      </c>
      <c r="D20" s="76" t="inlineStr">
        <is>
          <t>Bedeutung</t>
        </is>
      </c>
      <c r="E20" s="218" t="n"/>
      <c r="F20" s="218" t="n"/>
      <c r="G20" s="218" t="n"/>
      <c r="H20" s="218" t="n"/>
      <c r="I20" s="218" t="n"/>
      <c r="J20" s="218" t="n"/>
      <c r="K20" s="218" t="n"/>
      <c r="L20" s="218" t="n"/>
      <c r="M20" s="218" t="n"/>
      <c r="N20" s="218" t="n"/>
      <c r="O20" s="218" t="n"/>
      <c r="P20" s="218" t="n"/>
      <c r="Q20" s="218" t="n"/>
      <c r="R20" s="218" t="n"/>
      <c r="S20" s="218" t="n"/>
      <c r="T20" s="218" t="n"/>
      <c r="U20" s="218" t="n"/>
      <c r="V20" s="218" t="n"/>
      <c r="W20" s="218" t="n"/>
      <c r="X20" s="218" t="n"/>
      <c r="Y20" s="218" t="n"/>
      <c r="Z20" s="218" t="n"/>
      <c r="AA20" s="218" t="n"/>
      <c r="AB20" s="218" t="n"/>
      <c r="AC20" s="218" t="n"/>
      <c r="AD20" s="219" t="n"/>
    </row>
    <row r="21" ht="15" customHeight="1">
      <c r="A21" s="276" t="inlineStr">
        <is>
          <t>&lt;5 Jahre</t>
        </is>
      </c>
      <c r="B21" s="280" t="n">
        <v>5</v>
      </c>
      <c r="C21" s="281" t="n">
        <v>5</v>
      </c>
      <c r="D21" s="279" t="inlineStr">
        <is>
          <t>So viele Jahre laeuft die Last.</t>
        </is>
      </c>
      <c r="E21" s="218" t="n"/>
      <c r="F21" s="218" t="n"/>
      <c r="G21" s="218" t="n"/>
      <c r="H21" s="218" t="n"/>
      <c r="I21" s="218" t="n"/>
      <c r="J21" s="218" t="n"/>
      <c r="K21" s="218" t="n"/>
      <c r="L21" s="218" t="n"/>
      <c r="M21" s="218" t="n"/>
      <c r="N21" s="218" t="n"/>
      <c r="O21" s="218" t="n"/>
      <c r="P21" s="218" t="n"/>
      <c r="Q21" s="218" t="n"/>
      <c r="R21" s="218" t="n"/>
      <c r="S21" s="218" t="n"/>
      <c r="T21" s="218" t="n"/>
      <c r="U21" s="218" t="n"/>
      <c r="V21" s="218" t="n"/>
      <c r="W21" s="218" t="n"/>
      <c r="X21" s="218" t="n"/>
      <c r="Y21" s="218" t="n"/>
      <c r="Z21" s="218" t="n"/>
      <c r="AA21" s="218" t="n"/>
      <c r="AB21" s="218" t="n"/>
      <c r="AC21" s="218" t="n"/>
      <c r="AD21" s="219" t="n"/>
    </row>
    <row r="22" ht="15" customHeight="1">
      <c r="A22" s="276" t="inlineStr">
        <is>
          <t>10 Jahre</t>
        </is>
      </c>
      <c r="B22" s="280" t="n">
        <v>10</v>
      </c>
      <c r="C22" s="281" t="n">
        <v>10</v>
      </c>
      <c r="D22" s="279" t="inlineStr">
        <is>
          <t>So viele Jahre laeuft die Last.</t>
        </is>
      </c>
      <c r="E22" s="218" t="n"/>
      <c r="F22" s="218" t="n"/>
      <c r="G22" s="218" t="n"/>
      <c r="H22" s="218" t="n"/>
      <c r="I22" s="218" t="n"/>
      <c r="J22" s="218" t="n"/>
      <c r="K22" s="218" t="n"/>
      <c r="L22" s="218" t="n"/>
      <c r="M22" s="218" t="n"/>
      <c r="N22" s="218" t="n"/>
      <c r="O22" s="218" t="n"/>
      <c r="P22" s="218" t="n"/>
      <c r="Q22" s="218" t="n"/>
      <c r="R22" s="218" t="n"/>
      <c r="S22" s="218" t="n"/>
      <c r="T22" s="218" t="n"/>
      <c r="U22" s="218" t="n"/>
      <c r="V22" s="218" t="n"/>
      <c r="W22" s="218" t="n"/>
      <c r="X22" s="218" t="n"/>
      <c r="Y22" s="218" t="n"/>
      <c r="Z22" s="218" t="n"/>
      <c r="AA22" s="218" t="n"/>
      <c r="AB22" s="218" t="n"/>
      <c r="AC22" s="218" t="n"/>
      <c r="AD22" s="219" t="n"/>
    </row>
    <row r="23" ht="15" customHeight="1">
      <c r="A23" s="276" t="inlineStr">
        <is>
          <t>15 Jahre</t>
        </is>
      </c>
      <c r="B23" s="280" t="n">
        <v>15</v>
      </c>
      <c r="C23" s="281" t="n">
        <v>15</v>
      </c>
      <c r="D23" s="279" t="inlineStr">
        <is>
          <t>So viele Jahre laeuft die Last.</t>
        </is>
      </c>
      <c r="E23" s="218" t="n"/>
      <c r="F23" s="218" t="n"/>
      <c r="G23" s="218" t="n"/>
      <c r="H23" s="218" t="n"/>
      <c r="I23" s="218" t="n"/>
      <c r="J23" s="218" t="n"/>
      <c r="K23" s="218" t="n"/>
      <c r="L23" s="218" t="n"/>
      <c r="M23" s="218" t="n"/>
      <c r="N23" s="218" t="n"/>
      <c r="O23" s="218" t="n"/>
      <c r="P23" s="218" t="n"/>
      <c r="Q23" s="218" t="n"/>
      <c r="R23" s="218" t="n"/>
      <c r="S23" s="218" t="n"/>
      <c r="T23" s="218" t="n"/>
      <c r="U23" s="218" t="n"/>
      <c r="V23" s="218" t="n"/>
      <c r="W23" s="218" t="n"/>
      <c r="X23" s="218" t="n"/>
      <c r="Y23" s="218" t="n"/>
      <c r="Z23" s="218" t="n"/>
      <c r="AA23" s="218" t="n"/>
      <c r="AB23" s="218" t="n"/>
      <c r="AC23" s="218" t="n"/>
      <c r="AD23" s="219" t="n"/>
    </row>
    <row r="24" ht="15" customHeight="1">
      <c r="A24" s="276" t="inlineStr">
        <is>
          <t>bis dass der Tod uns scheidet</t>
        </is>
      </c>
      <c r="B24" s="282" t="inlineStr">
        <is>
          <t>-</t>
        </is>
      </c>
      <c r="C24" s="283" t="inlineStr">
        <is>
          <t>-</t>
        </is>
      </c>
      <c r="D24" s="279" t="inlineStr">
        <is>
          <t>Keine Zahl. Die Uhr laeuft weiter, bis das Budget leer ist - das Endalter faellt von selbst heraus.</t>
        </is>
      </c>
      <c r="E24" s="218" t="n"/>
      <c r="F24" s="218" t="n"/>
      <c r="G24" s="218" t="n"/>
      <c r="H24" s="218" t="n"/>
      <c r="I24" s="218" t="n"/>
      <c r="J24" s="218" t="n"/>
      <c r="K24" s="218" t="n"/>
      <c r="L24" s="218" t="n"/>
      <c r="M24" s="218" t="n"/>
      <c r="N24" s="218" t="n"/>
      <c r="O24" s="218" t="n"/>
      <c r="P24" s="218" t="n"/>
      <c r="Q24" s="218" t="n"/>
      <c r="R24" s="218" t="n"/>
      <c r="S24" s="218" t="n"/>
      <c r="T24" s="218" t="n"/>
      <c r="U24" s="218" t="n"/>
      <c r="V24" s="218" t="n"/>
      <c r="W24" s="218" t="n"/>
      <c r="X24" s="218" t="n"/>
      <c r="Y24" s="218" t="n"/>
      <c r="Z24" s="218" t="n"/>
      <c r="AA24" s="218" t="n"/>
      <c r="AB24" s="218" t="n"/>
      <c r="AC24" s="218" t="n"/>
      <c r="AD24" s="219" t="n"/>
    </row>
    <row r="25">
      <c r="A25" s="274" t="inlineStr">
        <is>
          <t>4. Jahresfaktor: was ein Lebensjahr kostet</t>
        </is>
      </c>
    </row>
    <row r="26" ht="25.5" customHeight="1">
      <c r="A26" s="275" t="inlineStr">
        <is>
          <t>f(Alter) = (1 + LINEAR * (Alter - Basisalter)) * ZINS ^ (Alter - Basisalter). Der lineare Teil gibt den gleichmaessigen Zuwachs, der Zinseszinsteil sorgt dafuer, dass die Kurve mit den Jahren von selbst steiler wird. Mit den Defaults: 20 = 1,00 - 21 = 1,01 - 30 = 1,10 - 40 = 1,22 - 60 = 1,47 - 88 = 1,88. LINEAR auf 0 macht die Kurve rein exponentiell, ZINS auf 1,000 macht sie rein linear. Die ganze Tabelle steht sichtbar auf dem Block Lebensuhr weiter unten.</t>
        </is>
      </c>
    </row>
    <row r="27" ht="20" customHeight="1">
      <c r="A27" s="76" t="inlineStr">
        <is>
          <t>Stufe oder Groesse</t>
        </is>
      </c>
      <c r="B27" s="76" t="inlineStr">
        <is>
          <t>Wert</t>
        </is>
      </c>
      <c r="C27" s="76" t="inlineStr">
        <is>
          <t>Default</t>
        </is>
      </c>
      <c r="D27" s="76" t="inlineStr">
        <is>
          <t>Bedeutung</t>
        </is>
      </c>
      <c r="E27" s="218" t="n"/>
      <c r="F27" s="218" t="n"/>
      <c r="G27" s="218" t="n"/>
      <c r="H27" s="218" t="n"/>
      <c r="I27" s="218" t="n"/>
      <c r="J27" s="218" t="n"/>
      <c r="K27" s="218" t="n"/>
      <c r="L27" s="218" t="n"/>
      <c r="M27" s="218" t="n"/>
      <c r="N27" s="218" t="n"/>
      <c r="O27" s="218" t="n"/>
      <c r="P27" s="218" t="n"/>
      <c r="Q27" s="218" t="n"/>
      <c r="R27" s="218" t="n"/>
      <c r="S27" s="218" t="n"/>
      <c r="T27" s="218" t="n"/>
      <c r="U27" s="218" t="n"/>
      <c r="V27" s="218" t="n"/>
      <c r="W27" s="218" t="n"/>
      <c r="X27" s="218" t="n"/>
      <c r="Y27" s="218" t="n"/>
      <c r="Z27" s="218" t="n"/>
      <c r="AA27" s="218" t="n"/>
      <c r="AB27" s="218" t="n"/>
      <c r="AC27" s="218" t="n"/>
      <c r="AD27" s="219" t="n"/>
    </row>
    <row r="28" ht="15" customHeight="1">
      <c r="A28" s="276" t="inlineStr">
        <is>
          <t>Basisalter (Faktor genau 1,00)</t>
        </is>
      </c>
      <c r="B28" s="280" t="n">
        <v>20</v>
      </c>
      <c r="C28" s="281" t="n">
        <v>20</v>
      </c>
      <c r="D28" s="279" t="inlineStr">
        <is>
          <t>Der Nullpunkt der Kurve. Hier kostet ein Jahr genau eine Einheit.</t>
        </is>
      </c>
      <c r="E28" s="218" t="n"/>
      <c r="F28" s="218" t="n"/>
      <c r="G28" s="218" t="n"/>
      <c r="H28" s="218" t="n"/>
      <c r="I28" s="218" t="n"/>
      <c r="J28" s="218" t="n"/>
      <c r="K28" s="218" t="n"/>
      <c r="L28" s="218" t="n"/>
      <c r="M28" s="218" t="n"/>
      <c r="N28" s="218" t="n"/>
      <c r="O28" s="218" t="n"/>
      <c r="P28" s="218" t="n"/>
      <c r="Q28" s="218" t="n"/>
      <c r="R28" s="218" t="n"/>
      <c r="S28" s="218" t="n"/>
      <c r="T28" s="218" t="n"/>
      <c r="U28" s="218" t="n"/>
      <c r="V28" s="218" t="n"/>
      <c r="W28" s="218" t="n"/>
      <c r="X28" s="218" t="n"/>
      <c r="Y28" s="218" t="n"/>
      <c r="Z28" s="218" t="n"/>
      <c r="AA28" s="218" t="n"/>
      <c r="AB28" s="218" t="n"/>
      <c r="AC28" s="218" t="n"/>
      <c r="AD28" s="219" t="n"/>
    </row>
    <row r="29" ht="15" customHeight="1">
      <c r="A29" s="276" t="inlineStr">
        <is>
          <t>linearer Zuwachs je Jahr</t>
        </is>
      </c>
      <c r="B29" s="284" t="n">
        <v>0.005</v>
      </c>
      <c r="C29" s="285" t="n">
        <v>0.005</v>
      </c>
      <c r="D29" s="279" t="inlineStr">
        <is>
          <t>0,005 heisst ein halbes Prozent pro Jahr aus dem linearen Teil.</t>
        </is>
      </c>
      <c r="E29" s="218" t="n"/>
      <c r="F29" s="218" t="n"/>
      <c r="G29" s="218" t="n"/>
      <c r="H29" s="218" t="n"/>
      <c r="I29" s="218" t="n"/>
      <c r="J29" s="218" t="n"/>
      <c r="K29" s="218" t="n"/>
      <c r="L29" s="218" t="n"/>
      <c r="M29" s="218" t="n"/>
      <c r="N29" s="218" t="n"/>
      <c r="O29" s="218" t="n"/>
      <c r="P29" s="218" t="n"/>
      <c r="Q29" s="218" t="n"/>
      <c r="R29" s="218" t="n"/>
      <c r="S29" s="218" t="n"/>
      <c r="T29" s="218" t="n"/>
      <c r="U29" s="218" t="n"/>
      <c r="V29" s="218" t="n"/>
      <c r="W29" s="218" t="n"/>
      <c r="X29" s="218" t="n"/>
      <c r="Y29" s="218" t="n"/>
      <c r="Z29" s="218" t="n"/>
      <c r="AA29" s="218" t="n"/>
      <c r="AB29" s="218" t="n"/>
      <c r="AC29" s="218" t="n"/>
      <c r="AD29" s="219" t="n"/>
    </row>
    <row r="30" ht="15" customHeight="1">
      <c r="A30" s="276" t="inlineStr">
        <is>
          <t>Zinseszins je Jahr</t>
        </is>
      </c>
      <c r="B30" s="284" t="n">
        <v>1.005</v>
      </c>
      <c r="C30" s="285" t="n">
        <v>1.005</v>
      </c>
      <c r="D30" s="279" t="inlineStr">
        <is>
          <t>1,005 heisst ein halbes Prozent pro Jahr auf das schon Erreichte. Zusammen mit dem linearen Teil ergibt das knapp ein Prozent, mit steigender Tendenz.</t>
        </is>
      </c>
      <c r="E30" s="218" t="n"/>
      <c r="F30" s="218" t="n"/>
      <c r="G30" s="218" t="n"/>
      <c r="H30" s="218" t="n"/>
      <c r="I30" s="218" t="n"/>
      <c r="J30" s="218" t="n"/>
      <c r="K30" s="218" t="n"/>
      <c r="L30" s="218" t="n"/>
      <c r="M30" s="218" t="n"/>
      <c r="N30" s="218" t="n"/>
      <c r="O30" s="218" t="n"/>
      <c r="P30" s="218" t="n"/>
      <c r="Q30" s="218" t="n"/>
      <c r="R30" s="218" t="n"/>
      <c r="S30" s="218" t="n"/>
      <c r="T30" s="218" t="n"/>
      <c r="U30" s="218" t="n"/>
      <c r="V30" s="218" t="n"/>
      <c r="W30" s="218" t="n"/>
      <c r="X30" s="218" t="n"/>
      <c r="Y30" s="218" t="n"/>
      <c r="Z30" s="218" t="n"/>
      <c r="AA30" s="218" t="n"/>
      <c r="AB30" s="218" t="n"/>
      <c r="AC30" s="218" t="n"/>
      <c r="AD30" s="219" t="n"/>
    </row>
    <row r="31" ht="15" customHeight="1">
      <c r="A31" s="276" t="inlineStr">
        <is>
          <t>Alter, ab dem gezaehlt wird</t>
        </is>
      </c>
      <c r="B31" s="280" t="n">
        <v>18</v>
      </c>
      <c r="C31" s="281" t="n">
        <v>18</v>
      </c>
      <c r="D31" s="279" t="inlineStr">
        <is>
          <t>Darunter rechnet das Modell keinen Schaden. Hier faengt auch die Tabelle an.</t>
        </is>
      </c>
      <c r="E31" s="218" t="n"/>
      <c r="F31" s="218" t="n"/>
      <c r="G31" s="218" t="n"/>
      <c r="H31" s="218" t="n"/>
      <c r="I31" s="218" t="n"/>
      <c r="J31" s="218" t="n"/>
      <c r="K31" s="218" t="n"/>
      <c r="L31" s="218" t="n"/>
      <c r="M31" s="218" t="n"/>
      <c r="N31" s="218" t="n"/>
      <c r="O31" s="218" t="n"/>
      <c r="P31" s="218" t="n"/>
      <c r="Q31" s="218" t="n"/>
      <c r="R31" s="218" t="n"/>
      <c r="S31" s="218" t="n"/>
      <c r="T31" s="218" t="n"/>
      <c r="U31" s="218" t="n"/>
      <c r="V31" s="218" t="n"/>
      <c r="W31" s="218" t="n"/>
      <c r="X31" s="218" t="n"/>
      <c r="Y31" s="218" t="n"/>
      <c r="Z31" s="218" t="n"/>
      <c r="AA31" s="218" t="n"/>
      <c r="AB31" s="218" t="n"/>
      <c r="AC31" s="218" t="n"/>
      <c r="AD31" s="219" t="n"/>
    </row>
    <row r="32" ht="23.5" customHeight="1">
      <c r="A32" s="276" t="inlineStr">
        <is>
          <t>Schadensbudget eines Lebens</t>
        </is>
      </c>
      <c r="B32" s="286" t="n">
        <v>97</v>
      </c>
      <c r="C32" s="287" t="n">
        <v>97</v>
      </c>
      <c r="D32" s="279" t="inlineStr">
        <is>
          <t>Wie viele Einheiten ein Leben hergibt. 97,0 ist die Summe der Jahresfaktoren von 18 bis 87 bei der Default-Kurve, also genau ein Leben bis 88. Diese Zahl steht BEWUSST fest und wird nicht aus der Kurve gerechnet: sonst kuerzt sich die Kurve heraus und die beiden Regler darueber bewegen gar nichts. So gesehen ist das hier der Gegenspieler - steilere Kurve heisst frueheres Ende, wer das ausgleichen will, hebt das Budget mit an. Lastfreies Ende je Kurve: 0,000/1,000 = 115 - 0,005/1,005 = 88 - 0,005/1,010 = 80 - 0,010/1,010 = 75.</t>
        </is>
      </c>
      <c r="E32" s="218" t="n"/>
      <c r="F32" s="218" t="n"/>
      <c r="G32" s="218" t="n"/>
      <c r="H32" s="218" t="n"/>
      <c r="I32" s="218" t="n"/>
      <c r="J32" s="218" t="n"/>
      <c r="K32" s="218" t="n"/>
      <c r="L32" s="218" t="n"/>
      <c r="M32" s="218" t="n"/>
      <c r="N32" s="218" t="n"/>
      <c r="O32" s="218" t="n"/>
      <c r="P32" s="218" t="n"/>
      <c r="Q32" s="218" t="n"/>
      <c r="R32" s="218" t="n"/>
      <c r="S32" s="218" t="n"/>
      <c r="T32" s="218" t="n"/>
      <c r="U32" s="218" t="n"/>
      <c r="V32" s="218" t="n"/>
      <c r="W32" s="218" t="n"/>
      <c r="X32" s="218" t="n"/>
      <c r="Y32" s="218" t="n"/>
      <c r="Z32" s="218" t="n"/>
      <c r="AA32" s="218" t="n"/>
      <c r="AB32" s="218" t="n"/>
      <c r="AC32" s="218" t="n"/>
      <c r="AD32" s="219" t="n"/>
    </row>
    <row r="33">
      <c r="A33" s="274" t="inlineStr">
        <is>
          <t>5. Vom Score zum Schadensmultiplikator</t>
        </is>
      </c>
    </row>
    <row r="34" ht="25.5" customHeight="1">
      <c r="A34" s="275" t="inlineStr">
        <is>
          <t>M = (Bezugsscore / Score) hoch Schaerfe. Das ist die Bruecke zwischen den beiden Zahlen: der Score sagt, wie hart gefahren wird, M sagt, um welchen Faktor das die Lebensuhr schneller laufen laesst. Weil das Endalter aus GENAU diesem Score kommt, koennen die beiden nicht mehr auseinanderlaufen - jede Verschlechterung im Score zieht das Endalter nach unten, jede Verbesserung schiebt es nach oben.</t>
        </is>
      </c>
    </row>
    <row r="35" ht="20" customHeight="1">
      <c r="A35" s="76" t="inlineStr">
        <is>
          <t>Stufe oder Groesse</t>
        </is>
      </c>
      <c r="B35" s="76" t="inlineStr">
        <is>
          <t>Wert</t>
        </is>
      </c>
      <c r="C35" s="76" t="inlineStr">
        <is>
          <t>Default</t>
        </is>
      </c>
      <c r="D35" s="76" t="inlineStr">
        <is>
          <t>Bedeutung</t>
        </is>
      </c>
      <c r="E35" s="218" t="n"/>
      <c r="F35" s="218" t="n"/>
      <c r="G35" s="218" t="n"/>
      <c r="H35" s="218" t="n"/>
      <c r="I35" s="218" t="n"/>
      <c r="J35" s="218" t="n"/>
      <c r="K35" s="218" t="n"/>
      <c r="L35" s="218" t="n"/>
      <c r="M35" s="218" t="n"/>
      <c r="N35" s="218" t="n"/>
      <c r="O35" s="218" t="n"/>
      <c r="P35" s="218" t="n"/>
      <c r="Q35" s="218" t="n"/>
      <c r="R35" s="218" t="n"/>
      <c r="S35" s="218" t="n"/>
      <c r="T35" s="218" t="n"/>
      <c r="U35" s="218" t="n"/>
      <c r="V35" s="218" t="n"/>
      <c r="W35" s="218" t="n"/>
      <c r="X35" s="218" t="n"/>
      <c r="Y35" s="218" t="n"/>
      <c r="Z35" s="218" t="n"/>
      <c r="AA35" s="218" t="n"/>
      <c r="AB35" s="218" t="n"/>
      <c r="AC35" s="218" t="n"/>
      <c r="AD35" s="219" t="n"/>
    </row>
    <row r="36" ht="15" customHeight="1">
      <c r="A36" s="276" t="inlineStr">
        <is>
          <t>Bezugsscore (M = 1,00)</t>
        </is>
      </c>
      <c r="B36" s="280" t="n">
        <v>80</v>
      </c>
      <c r="C36" s="281" t="n">
        <v>80</v>
      </c>
      <c r="D36" s="279" t="inlineStr">
        <is>
          <t>Bei diesem Score laeuft die Uhr normal. 80 ist der Durchschnitt: gesunde Anlage, nichts gemessen, Natty oder TRT, keine Orale. Daraus ergibt sich auch der Basisindex 0,20, gegen den jedes System gerechnet wird.</t>
        </is>
      </c>
      <c r="E36" s="218" t="n"/>
      <c r="F36" s="218" t="n"/>
      <c r="G36" s="218" t="n"/>
      <c r="H36" s="218" t="n"/>
      <c r="I36" s="218" t="n"/>
      <c r="J36" s="218" t="n"/>
      <c r="K36" s="218" t="n"/>
      <c r="L36" s="218" t="n"/>
      <c r="M36" s="218" t="n"/>
      <c r="N36" s="218" t="n"/>
      <c r="O36" s="218" t="n"/>
      <c r="P36" s="218" t="n"/>
      <c r="Q36" s="218" t="n"/>
      <c r="R36" s="218" t="n"/>
      <c r="S36" s="218" t="n"/>
      <c r="T36" s="218" t="n"/>
      <c r="U36" s="218" t="n"/>
      <c r="V36" s="218" t="n"/>
      <c r="W36" s="218" t="n"/>
      <c r="X36" s="218" t="n"/>
      <c r="Y36" s="218" t="n"/>
      <c r="Z36" s="218" t="n"/>
      <c r="AA36" s="218" t="n"/>
      <c r="AB36" s="218" t="n"/>
      <c r="AC36" s="218" t="n"/>
      <c r="AD36" s="219" t="n"/>
    </row>
    <row r="37" ht="15" customHeight="1">
      <c r="A37" s="276" t="inlineStr">
        <is>
          <t>Restspielraum bei Index 1</t>
        </is>
      </c>
      <c r="B37" s="277" t="n">
        <v>0.05</v>
      </c>
      <c r="C37" s="278" t="n">
        <v>0.05</v>
      </c>
      <c r="D37" s="279" t="inlineStr">
        <is>
          <t>Ein System auf Index 1,00 waere unendlich schaedlich. Dieser Rest deckelt das: 0,05 heisst, der schlimmstmoegliche Einzelfaktor ist 16 hoch Schaerfe.</t>
        </is>
      </c>
      <c r="E37" s="218" t="n"/>
      <c r="F37" s="218" t="n"/>
      <c r="G37" s="218" t="n"/>
      <c r="H37" s="218" t="n"/>
      <c r="I37" s="218" t="n"/>
      <c r="J37" s="218" t="n"/>
      <c r="K37" s="218" t="n"/>
      <c r="L37" s="218" t="n"/>
      <c r="M37" s="218" t="n"/>
      <c r="N37" s="218" t="n"/>
      <c r="O37" s="218" t="n"/>
      <c r="P37" s="218" t="n"/>
      <c r="Q37" s="218" t="n"/>
      <c r="R37" s="218" t="n"/>
      <c r="S37" s="218" t="n"/>
      <c r="T37" s="218" t="n"/>
      <c r="U37" s="218" t="n"/>
      <c r="V37" s="218" t="n"/>
      <c r="W37" s="218" t="n"/>
      <c r="X37" s="218" t="n"/>
      <c r="Y37" s="218" t="n"/>
      <c r="Z37" s="218" t="n"/>
      <c r="AA37" s="218" t="n"/>
      <c r="AB37" s="218" t="n"/>
      <c r="AC37" s="218" t="n"/>
      <c r="AD37" s="219" t="n"/>
    </row>
    <row r="38" ht="15" customHeight="1">
      <c r="A38" s="276" t="inlineStr">
        <is>
          <t>Schaerfe</t>
        </is>
      </c>
      <c r="B38" s="277" t="n">
        <v>1.15</v>
      </c>
      <c r="C38" s="278" t="n">
        <v>1.15</v>
      </c>
      <c r="D38" s="279" t="inlineStr">
        <is>
          <t>Wie hart ein belastetes System durchschlaegt. 1,00 waere proportional. Je hoeher, desto mehr entscheidet das schwaechste Glied und desto weniger der gesunde Rest. Kalibriert auf 1 g Dauerblast plus Trenbolon plus Methandienon, 15 Jahre ab 30 - das landet damit bei rund 61.</t>
        </is>
      </c>
      <c r="E38" s="218" t="n"/>
      <c r="F38" s="218" t="n"/>
      <c r="G38" s="218" t="n"/>
      <c r="H38" s="218" t="n"/>
      <c r="I38" s="218" t="n"/>
      <c r="J38" s="218" t="n"/>
      <c r="K38" s="218" t="n"/>
      <c r="L38" s="218" t="n"/>
      <c r="M38" s="218" t="n"/>
      <c r="N38" s="218" t="n"/>
      <c r="O38" s="218" t="n"/>
      <c r="P38" s="218" t="n"/>
      <c r="Q38" s="218" t="n"/>
      <c r="R38" s="218" t="n"/>
      <c r="S38" s="218" t="n"/>
      <c r="T38" s="218" t="n"/>
      <c r="U38" s="218" t="n"/>
      <c r="V38" s="218" t="n"/>
      <c r="W38" s="218" t="n"/>
      <c r="X38" s="218" t="n"/>
      <c r="Y38" s="218" t="n"/>
      <c r="Z38" s="218" t="n"/>
      <c r="AA38" s="218" t="n"/>
      <c r="AB38" s="218" t="n"/>
      <c r="AC38" s="218" t="n"/>
      <c r="AD38" s="219" t="n"/>
    </row>
    <row r="39" ht="23.5" customHeight="1">
      <c r="A39" s="276" t="inlineStr">
        <is>
          <t>Stapelung von Schaden auf einem System</t>
        </is>
      </c>
      <c r="B39" s="277" t="n">
        <v>1.5</v>
      </c>
      <c r="C39" s="278" t="n">
        <v>1.5</v>
      </c>
      <c r="D39" s="279" t="inlineStr">
        <is>
          <t>Zwei boese Stoffe auf demselben System sind mehr als die Summe der beiden. Der Lastfaktor geht als last hoch diesem Wert in die Saettigung. Bei 1,00 bleibt ein dreifach getroffenes System bei Index 0,70 stehen und das schwaechste Glied kommt nie richtig zum Tragen; ueber 2,00 laeuft es in die 1 und dann sind Oxandrolon und Oxymetholon gleich schlimm.</t>
        </is>
      </c>
      <c r="E39" s="218" t="n"/>
      <c r="F39" s="218" t="n"/>
      <c r="G39" s="218" t="n"/>
      <c r="H39" s="218" t="n"/>
      <c r="I39" s="218" t="n"/>
      <c r="J39" s="218" t="n"/>
      <c r="K39" s="218" t="n"/>
      <c r="L39" s="218" t="n"/>
      <c r="M39" s="218" t="n"/>
      <c r="N39" s="218" t="n"/>
      <c r="O39" s="218" t="n"/>
      <c r="P39" s="218" t="n"/>
      <c r="Q39" s="218" t="n"/>
      <c r="R39" s="218" t="n"/>
      <c r="S39" s="218" t="n"/>
      <c r="T39" s="218" t="n"/>
      <c r="U39" s="218" t="n"/>
      <c r="V39" s="218" t="n"/>
      <c r="W39" s="218" t="n"/>
      <c r="X39" s="218" t="n"/>
      <c r="Y39" s="218" t="n"/>
      <c r="Z39" s="218" t="n"/>
      <c r="AA39" s="218" t="n"/>
      <c r="AB39" s="218" t="n"/>
      <c r="AC39" s="218" t="n"/>
      <c r="AD39" s="219" t="n"/>
    </row>
    <row r="40" ht="15" customHeight="1">
      <c r="A40" s="276" t="inlineStr">
        <is>
          <t>Gewicht des schwaechsten Glieds</t>
        </is>
      </c>
      <c r="B40" s="277" t="n">
        <v>1</v>
      </c>
      <c r="C40" s="278" t="n">
        <v>1</v>
      </c>
      <c r="D40" s="279" t="inlineStr">
        <is>
          <t>Wie die fuenfzehn Systemgefahren zusammengefasst werden. 1,00 ist das gewichtete Mittel - schon damit dominiert ein System am Anschlag, weil die Kurve nach oben wegzieht. Hoeher heisst reiner Kettenbruch: bei 3,00 zaehlt praktisch nur noch das schlimmste System, der Rest verschwindet.</t>
        </is>
      </c>
      <c r="E40" s="218" t="n"/>
      <c r="F40" s="218" t="n"/>
      <c r="G40" s="218" t="n"/>
      <c r="H40" s="218" t="n"/>
      <c r="I40" s="218" t="n"/>
      <c r="J40" s="218" t="n"/>
      <c r="K40" s="218" t="n"/>
      <c r="L40" s="218" t="n"/>
      <c r="M40" s="218" t="n"/>
      <c r="N40" s="218" t="n"/>
      <c r="O40" s="218" t="n"/>
      <c r="P40" s="218" t="n"/>
      <c r="Q40" s="218" t="n"/>
      <c r="R40" s="218" t="n"/>
      <c r="S40" s="218" t="n"/>
      <c r="T40" s="218" t="n"/>
      <c r="U40" s="218" t="n"/>
      <c r="V40" s="218" t="n"/>
      <c r="W40" s="218" t="n"/>
      <c r="X40" s="218" t="n"/>
      <c r="Y40" s="218" t="n"/>
      <c r="Z40" s="218" t="n"/>
      <c r="AA40" s="218" t="n"/>
      <c r="AB40" s="218" t="n"/>
      <c r="AC40" s="218" t="n"/>
      <c r="AD40" s="219" t="n"/>
    </row>
    <row r="41">
      <c r="A41" s="274" t="inlineStr">
        <is>
          <t>6. Blutwerte: Belastungsindex je Band</t>
        </is>
      </c>
    </row>
    <row r="42" ht="14" customHeight="1">
      <c r="A42" s="275" t="inlineStr">
        <is>
          <t>Was ein gemessener Wert fuer die Belastung dieser Kategorie bedeutet. 0 heisst keine Belastung, 1 heisst volle Belastung.</t>
        </is>
      </c>
    </row>
    <row r="43" ht="20" customHeight="1">
      <c r="A43" s="76" t="inlineStr">
        <is>
          <t>Stufe oder Groesse</t>
        </is>
      </c>
      <c r="B43" s="76" t="inlineStr">
        <is>
          <t>Wert</t>
        </is>
      </c>
      <c r="C43" s="76" t="inlineStr">
        <is>
          <t>Default</t>
        </is>
      </c>
      <c r="D43" s="76" t="inlineStr">
        <is>
          <t>Bedeutung</t>
        </is>
      </c>
      <c r="E43" s="218" t="n"/>
      <c r="F43" s="218" t="n"/>
      <c r="G43" s="218" t="n"/>
      <c r="H43" s="218" t="n"/>
      <c r="I43" s="218" t="n"/>
      <c r="J43" s="218" t="n"/>
      <c r="K43" s="218" t="n"/>
      <c r="L43" s="218" t="n"/>
      <c r="M43" s="218" t="n"/>
      <c r="N43" s="218" t="n"/>
      <c r="O43" s="218" t="n"/>
      <c r="P43" s="218" t="n"/>
      <c r="Q43" s="218" t="n"/>
      <c r="R43" s="218" t="n"/>
      <c r="S43" s="218" t="n"/>
      <c r="T43" s="218" t="n"/>
      <c r="U43" s="218" t="n"/>
      <c r="V43" s="218" t="n"/>
      <c r="W43" s="218" t="n"/>
      <c r="X43" s="218" t="n"/>
      <c r="Y43" s="218" t="n"/>
      <c r="Z43" s="218" t="n"/>
      <c r="AA43" s="218" t="n"/>
      <c r="AB43" s="218" t="n"/>
      <c r="AC43" s="218" t="n"/>
      <c r="AD43" s="219" t="n"/>
    </row>
    <row r="44" ht="15" customHeight="1">
      <c r="A44" s="276" t="inlineStr">
        <is>
          <t>Band 1 (gut)</t>
        </is>
      </c>
      <c r="B44" s="277" t="n">
        <v>0</v>
      </c>
      <c r="C44" s="278" t="n">
        <v>0</v>
      </c>
      <c r="D44" s="279" t="inlineStr">
        <is>
          <t>Im Zielbereich.</t>
        </is>
      </c>
      <c r="E44" s="218" t="n"/>
      <c r="F44" s="218" t="n"/>
      <c r="G44" s="218" t="n"/>
      <c r="H44" s="218" t="n"/>
      <c r="I44" s="218" t="n"/>
      <c r="J44" s="218" t="n"/>
      <c r="K44" s="218" t="n"/>
      <c r="L44" s="218" t="n"/>
      <c r="M44" s="218" t="n"/>
      <c r="N44" s="218" t="n"/>
      <c r="O44" s="218" t="n"/>
      <c r="P44" s="218" t="n"/>
      <c r="Q44" s="218" t="n"/>
      <c r="R44" s="218" t="n"/>
      <c r="S44" s="218" t="n"/>
      <c r="T44" s="218" t="n"/>
      <c r="U44" s="218" t="n"/>
      <c r="V44" s="218" t="n"/>
      <c r="W44" s="218" t="n"/>
      <c r="X44" s="218" t="n"/>
      <c r="Y44" s="218" t="n"/>
      <c r="Z44" s="218" t="n"/>
      <c r="AA44" s="218" t="n"/>
      <c r="AB44" s="218" t="n"/>
      <c r="AC44" s="218" t="n"/>
      <c r="AD44" s="219" t="n"/>
    </row>
    <row r="45" ht="15" customHeight="1">
      <c r="A45" s="276" t="inlineStr">
        <is>
          <t>Band 2</t>
        </is>
      </c>
      <c r="B45" s="277" t="n">
        <v>0.4</v>
      </c>
      <c r="C45" s="278" t="n">
        <v>0.4</v>
      </c>
      <c r="D45" s="279" t="inlineStr">
        <is>
          <t>Leicht daneben.</t>
        </is>
      </c>
      <c r="E45" s="218" t="n"/>
      <c r="F45" s="218" t="n"/>
      <c r="G45" s="218" t="n"/>
      <c r="H45" s="218" t="n"/>
      <c r="I45" s="218" t="n"/>
      <c r="J45" s="218" t="n"/>
      <c r="K45" s="218" t="n"/>
      <c r="L45" s="218" t="n"/>
      <c r="M45" s="218" t="n"/>
      <c r="N45" s="218" t="n"/>
      <c r="O45" s="218" t="n"/>
      <c r="P45" s="218" t="n"/>
      <c r="Q45" s="218" t="n"/>
      <c r="R45" s="218" t="n"/>
      <c r="S45" s="218" t="n"/>
      <c r="T45" s="218" t="n"/>
      <c r="U45" s="218" t="n"/>
      <c r="V45" s="218" t="n"/>
      <c r="W45" s="218" t="n"/>
      <c r="X45" s="218" t="n"/>
      <c r="Y45" s="218" t="n"/>
      <c r="Z45" s="218" t="n"/>
      <c r="AA45" s="218" t="n"/>
      <c r="AB45" s="218" t="n"/>
      <c r="AC45" s="218" t="n"/>
      <c r="AD45" s="219" t="n"/>
    </row>
    <row r="46" ht="15" customHeight="1">
      <c r="A46" s="276" t="inlineStr">
        <is>
          <t>Band 3</t>
        </is>
      </c>
      <c r="B46" s="277" t="n">
        <v>0.75</v>
      </c>
      <c r="C46" s="278" t="n">
        <v>0.75</v>
      </c>
      <c r="D46" s="279" t="inlineStr">
        <is>
          <t>Deutlich daneben.</t>
        </is>
      </c>
      <c r="E46" s="218" t="n"/>
      <c r="F46" s="218" t="n"/>
      <c r="G46" s="218" t="n"/>
      <c r="H46" s="218" t="n"/>
      <c r="I46" s="218" t="n"/>
      <c r="J46" s="218" t="n"/>
      <c r="K46" s="218" t="n"/>
      <c r="L46" s="218" t="n"/>
      <c r="M46" s="218" t="n"/>
      <c r="N46" s="218" t="n"/>
      <c r="O46" s="218" t="n"/>
      <c r="P46" s="218" t="n"/>
      <c r="Q46" s="218" t="n"/>
      <c r="R46" s="218" t="n"/>
      <c r="S46" s="218" t="n"/>
      <c r="T46" s="218" t="n"/>
      <c r="U46" s="218" t="n"/>
      <c r="V46" s="218" t="n"/>
      <c r="W46" s="218" t="n"/>
      <c r="X46" s="218" t="n"/>
      <c r="Y46" s="218" t="n"/>
      <c r="Z46" s="218" t="n"/>
      <c r="AA46" s="218" t="n"/>
      <c r="AB46" s="218" t="n"/>
      <c r="AC46" s="218" t="n"/>
      <c r="AD46" s="219" t="n"/>
    </row>
    <row r="47" ht="15" customHeight="1">
      <c r="A47" s="276" t="inlineStr">
        <is>
          <t>Band 4 (Endlevel)</t>
        </is>
      </c>
      <c r="B47" s="277" t="n">
        <v>1</v>
      </c>
      <c r="C47" s="278" t="n">
        <v>1</v>
      </c>
      <c r="D47" s="279" t="inlineStr">
        <is>
          <t>Gefahrenbereich - hier zaehlt die Messung zu 100 Prozent und die Anlage gar nicht mehr.</t>
        </is>
      </c>
      <c r="E47" s="218" t="n"/>
      <c r="F47" s="218" t="n"/>
      <c r="G47" s="218" t="n"/>
      <c r="H47" s="218" t="n"/>
      <c r="I47" s="218" t="n"/>
      <c r="J47" s="218" t="n"/>
      <c r="K47" s="218" t="n"/>
      <c r="L47" s="218" t="n"/>
      <c r="M47" s="218" t="n"/>
      <c r="N47" s="218" t="n"/>
      <c r="O47" s="218" t="n"/>
      <c r="P47" s="218" t="n"/>
      <c r="Q47" s="218" t="n"/>
      <c r="R47" s="218" t="n"/>
      <c r="S47" s="218" t="n"/>
      <c r="T47" s="218" t="n"/>
      <c r="U47" s="218" t="n"/>
      <c r="V47" s="218" t="n"/>
      <c r="W47" s="218" t="n"/>
      <c r="X47" s="218" t="n"/>
      <c r="Y47" s="218" t="n"/>
      <c r="Z47" s="218" t="n"/>
      <c r="AA47" s="218" t="n"/>
      <c r="AB47" s="218" t="n"/>
      <c r="AC47" s="218" t="n"/>
      <c r="AD47" s="219" t="n"/>
    </row>
    <row r="48">
      <c r="A48" s="274" t="inlineStr">
        <is>
          <t>7. Blutwerte: wie viel eine Massnahme dort noch bringt</t>
        </is>
      </c>
    </row>
    <row r="49" ht="14" customHeight="1">
      <c r="A49" s="275" t="inlineStr">
        <is>
          <t>Steht der Wert im gruenen Band, gibt es nichts mehr zu holen. Diese Stufen daempfen GEPLANTE Massnahmen, die an diesen Messwert gekoppelt sind. Schaedliche Wirkungen werden nie gedaempft.</t>
        </is>
      </c>
    </row>
    <row r="50" ht="20" customHeight="1">
      <c r="A50" s="76" t="inlineStr">
        <is>
          <t>Stufe oder Groesse</t>
        </is>
      </c>
      <c r="B50" s="76" t="inlineStr">
        <is>
          <t>Wert</t>
        </is>
      </c>
      <c r="C50" s="76" t="inlineStr">
        <is>
          <t>Default</t>
        </is>
      </c>
      <c r="D50" s="76" t="inlineStr">
        <is>
          <t>Bedeutung</t>
        </is>
      </c>
      <c r="E50" s="218" t="n"/>
      <c r="F50" s="218" t="n"/>
      <c r="G50" s="218" t="n"/>
      <c r="H50" s="218" t="n"/>
      <c r="I50" s="218" t="n"/>
      <c r="J50" s="218" t="n"/>
      <c r="K50" s="218" t="n"/>
      <c r="L50" s="218" t="n"/>
      <c r="M50" s="218" t="n"/>
      <c r="N50" s="218" t="n"/>
      <c r="O50" s="218" t="n"/>
      <c r="P50" s="218" t="n"/>
      <c r="Q50" s="218" t="n"/>
      <c r="R50" s="218" t="n"/>
      <c r="S50" s="218" t="n"/>
      <c r="T50" s="218" t="n"/>
      <c r="U50" s="218" t="n"/>
      <c r="V50" s="218" t="n"/>
      <c r="W50" s="218" t="n"/>
      <c r="X50" s="218" t="n"/>
      <c r="Y50" s="218" t="n"/>
      <c r="Z50" s="218" t="n"/>
      <c r="AA50" s="218" t="n"/>
      <c r="AB50" s="218" t="n"/>
      <c r="AC50" s="218" t="n"/>
      <c r="AD50" s="219" t="n"/>
    </row>
    <row r="51" ht="15" customHeight="1">
      <c r="A51" s="276" t="inlineStr">
        <is>
          <t>Band 1 (gut)</t>
        </is>
      </c>
      <c r="B51" s="277" t="n">
        <v>0</v>
      </c>
      <c r="C51" s="278" t="n">
        <v>0</v>
      </c>
      <c r="D51" s="279" t="inlineStr">
        <is>
          <t>Nichts zu holen - ein Statin bei LDL 1,5 senkt keinen Schaden mehr.</t>
        </is>
      </c>
      <c r="E51" s="218" t="n"/>
      <c r="F51" s="218" t="n"/>
      <c r="G51" s="218" t="n"/>
      <c r="H51" s="218" t="n"/>
      <c r="I51" s="218" t="n"/>
      <c r="J51" s="218" t="n"/>
      <c r="K51" s="218" t="n"/>
      <c r="L51" s="218" t="n"/>
      <c r="M51" s="218" t="n"/>
      <c r="N51" s="218" t="n"/>
      <c r="O51" s="218" t="n"/>
      <c r="P51" s="218" t="n"/>
      <c r="Q51" s="218" t="n"/>
      <c r="R51" s="218" t="n"/>
      <c r="S51" s="218" t="n"/>
      <c r="T51" s="218" t="n"/>
      <c r="U51" s="218" t="n"/>
      <c r="V51" s="218" t="n"/>
      <c r="W51" s="218" t="n"/>
      <c r="X51" s="218" t="n"/>
      <c r="Y51" s="218" t="n"/>
      <c r="Z51" s="218" t="n"/>
      <c r="AA51" s="218" t="n"/>
      <c r="AB51" s="218" t="n"/>
      <c r="AC51" s="218" t="n"/>
      <c r="AD51" s="219" t="n"/>
    </row>
    <row r="52" ht="15" customHeight="1">
      <c r="A52" s="276" t="inlineStr">
        <is>
          <t>Band 2</t>
        </is>
      </c>
      <c r="B52" s="277" t="n">
        <v>0.4</v>
      </c>
      <c r="C52" s="278" t="n">
        <v>0.4</v>
      </c>
      <c r="D52" s="279" t="inlineStr">
        <is>
          <t>Wenig zu holen.</t>
        </is>
      </c>
      <c r="E52" s="218" t="n"/>
      <c r="F52" s="218" t="n"/>
      <c r="G52" s="218" t="n"/>
      <c r="H52" s="218" t="n"/>
      <c r="I52" s="218" t="n"/>
      <c r="J52" s="218" t="n"/>
      <c r="K52" s="218" t="n"/>
      <c r="L52" s="218" t="n"/>
      <c r="M52" s="218" t="n"/>
      <c r="N52" s="218" t="n"/>
      <c r="O52" s="218" t="n"/>
      <c r="P52" s="218" t="n"/>
      <c r="Q52" s="218" t="n"/>
      <c r="R52" s="218" t="n"/>
      <c r="S52" s="218" t="n"/>
      <c r="T52" s="218" t="n"/>
      <c r="U52" s="218" t="n"/>
      <c r="V52" s="218" t="n"/>
      <c r="W52" s="218" t="n"/>
      <c r="X52" s="218" t="n"/>
      <c r="Y52" s="218" t="n"/>
      <c r="Z52" s="218" t="n"/>
      <c r="AA52" s="218" t="n"/>
      <c r="AB52" s="218" t="n"/>
      <c r="AC52" s="218" t="n"/>
      <c r="AD52" s="219" t="n"/>
    </row>
    <row r="53" ht="15" customHeight="1">
      <c r="A53" s="276" t="inlineStr">
        <is>
          <t>Band 3</t>
        </is>
      </c>
      <c r="B53" s="277" t="n">
        <v>0.75</v>
      </c>
      <c r="C53" s="278" t="n">
        <v>0.75</v>
      </c>
      <c r="D53" s="279" t="inlineStr">
        <is>
          <t>Viel zu holen.</t>
        </is>
      </c>
      <c r="E53" s="218" t="n"/>
      <c r="F53" s="218" t="n"/>
      <c r="G53" s="218" t="n"/>
      <c r="H53" s="218" t="n"/>
      <c r="I53" s="218" t="n"/>
      <c r="J53" s="218" t="n"/>
      <c r="K53" s="218" t="n"/>
      <c r="L53" s="218" t="n"/>
      <c r="M53" s="218" t="n"/>
      <c r="N53" s="218" t="n"/>
      <c r="O53" s="218" t="n"/>
      <c r="P53" s="218" t="n"/>
      <c r="Q53" s="218" t="n"/>
      <c r="R53" s="218" t="n"/>
      <c r="S53" s="218" t="n"/>
      <c r="T53" s="218" t="n"/>
      <c r="U53" s="218" t="n"/>
      <c r="V53" s="218" t="n"/>
      <c r="W53" s="218" t="n"/>
      <c r="X53" s="218" t="n"/>
      <c r="Y53" s="218" t="n"/>
      <c r="Z53" s="218" t="n"/>
      <c r="AA53" s="218" t="n"/>
      <c r="AB53" s="218" t="n"/>
      <c r="AC53" s="218" t="n"/>
      <c r="AD53" s="219" t="n"/>
    </row>
    <row r="54" ht="15" customHeight="1">
      <c r="A54" s="276" t="inlineStr">
        <is>
          <t>Band 4 (Endlevel)</t>
        </is>
      </c>
      <c r="B54" s="277" t="n">
        <v>1</v>
      </c>
      <c r="C54" s="278" t="n">
        <v>1</v>
      </c>
      <c r="D54" s="279" t="inlineStr">
        <is>
          <t>Volle Wirkung - hier bringt die Massnahme am meisten.</t>
        </is>
      </c>
      <c r="E54" s="218" t="n"/>
      <c r="F54" s="218" t="n"/>
      <c r="G54" s="218" t="n"/>
      <c r="H54" s="218" t="n"/>
      <c r="I54" s="218" t="n"/>
      <c r="J54" s="218" t="n"/>
      <c r="K54" s="218" t="n"/>
      <c r="L54" s="218" t="n"/>
      <c r="M54" s="218" t="n"/>
      <c r="N54" s="218" t="n"/>
      <c r="O54" s="218" t="n"/>
      <c r="P54" s="218" t="n"/>
      <c r="Q54" s="218" t="n"/>
      <c r="R54" s="218" t="n"/>
      <c r="S54" s="218" t="n"/>
      <c r="T54" s="218" t="n"/>
      <c r="U54" s="218" t="n"/>
      <c r="V54" s="218" t="n"/>
      <c r="W54" s="218" t="n"/>
      <c r="X54" s="218" t="n"/>
      <c r="Y54" s="218" t="n"/>
      <c r="Z54" s="218" t="n"/>
      <c r="AA54" s="218" t="n"/>
      <c r="AB54" s="218" t="n"/>
      <c r="AC54" s="218" t="n"/>
      <c r="AD54" s="219" t="n"/>
    </row>
    <row r="55">
      <c r="A55" s="274" t="inlineStr">
        <is>
          <t>8. Gewichtung und Aufschlaege</t>
        </is>
      </c>
    </row>
    <row r="56" ht="20" customHeight="1">
      <c r="A56" s="76" t="inlineStr">
        <is>
          <t>Stufe oder Groesse</t>
        </is>
      </c>
      <c r="B56" s="76" t="inlineStr">
        <is>
          <t>Wert</t>
        </is>
      </c>
      <c r="C56" s="76" t="inlineStr">
        <is>
          <t>Default</t>
        </is>
      </c>
      <c r="D56" s="76" t="inlineStr">
        <is>
          <t>Bedeutung</t>
        </is>
      </c>
      <c r="E56" s="218" t="n"/>
      <c r="F56" s="218" t="n"/>
      <c r="G56" s="218" t="n"/>
      <c r="H56" s="218" t="n"/>
      <c r="I56" s="218" t="n"/>
      <c r="J56" s="218" t="n"/>
      <c r="K56" s="218" t="n"/>
      <c r="L56" s="218" t="n"/>
      <c r="M56" s="218" t="n"/>
      <c r="N56" s="218" t="n"/>
      <c r="O56" s="218" t="n"/>
      <c r="P56" s="218" t="n"/>
      <c r="Q56" s="218" t="n"/>
      <c r="R56" s="218" t="n"/>
      <c r="S56" s="218" t="n"/>
      <c r="T56" s="218" t="n"/>
      <c r="U56" s="218" t="n"/>
      <c r="V56" s="218" t="n"/>
      <c r="W56" s="218" t="n"/>
      <c r="X56" s="218" t="n"/>
      <c r="Y56" s="218" t="n"/>
      <c r="Z56" s="218" t="n"/>
      <c r="AA56" s="218" t="n"/>
      <c r="AB56" s="218" t="n"/>
      <c r="AC56" s="218" t="n"/>
      <c r="AD56" s="219" t="n"/>
    </row>
    <row r="57" ht="23.5" customHeight="1">
      <c r="A57" s="276" t="inlineStr">
        <is>
          <t>Gewicht der Messung gegenueber der Anlage</t>
        </is>
      </c>
      <c r="B57" s="277" t="n">
        <v>0.75</v>
      </c>
      <c r="C57" s="278" t="n">
        <v>0.75</v>
      </c>
      <c r="D57" s="279" t="inlineStr">
        <is>
          <t>0,75 heisst: ein eingetragener Blutwert bestimmt drei Viertel der Belastung dieser Kategorie, die Genetik ein Viertel. Nicht 1,00, weil eine einzelne Messung eine Momentaufnahme ist. Im Endlevel gilt trotzdem 1,00.</t>
        </is>
      </c>
      <c r="E57" s="218" t="n"/>
      <c r="F57" s="218" t="n"/>
      <c r="G57" s="218" t="n"/>
      <c r="H57" s="218" t="n"/>
      <c r="I57" s="218" t="n"/>
      <c r="J57" s="218" t="n"/>
      <c r="K57" s="218" t="n"/>
      <c r="L57" s="218" t="n"/>
      <c r="M57" s="218" t="n"/>
      <c r="N57" s="218" t="n"/>
      <c r="O57" s="218" t="n"/>
      <c r="P57" s="218" t="n"/>
      <c r="Q57" s="218" t="n"/>
      <c r="R57" s="218" t="n"/>
      <c r="S57" s="218" t="n"/>
      <c r="T57" s="218" t="n"/>
      <c r="U57" s="218" t="n"/>
      <c r="V57" s="218" t="n"/>
      <c r="W57" s="218" t="n"/>
      <c r="X57" s="218" t="n"/>
      <c r="Y57" s="218" t="n"/>
      <c r="Z57" s="218" t="n"/>
      <c r="AA57" s="218" t="n"/>
      <c r="AB57" s="218" t="n"/>
      <c r="AC57" s="218" t="n"/>
      <c r="AD57" s="219" t="n"/>
    </row>
    <row r="58" ht="23.5" customHeight="1">
      <c r="A58" s="276" t="inlineStr">
        <is>
          <t>Load-Anteil in GEMESSENEN Kategorien</t>
        </is>
      </c>
      <c r="B58" s="277" t="n">
        <v>0.25</v>
      </c>
      <c r="C58" s="278" t="n">
        <v>0.25</v>
      </c>
      <c r="D58" s="279" t="inlineStr">
        <is>
          <t>Auch wo ein Blutwert vorliegt, wirkt ein Teil des Loads weiter. Ein normales LDL bei 1 g heisst nicht, dass an der Gefaesswand nichts passiert. Auf 0 gesetzt zaehlt in gemessenen Kategorien nur noch der Messwert.</t>
        </is>
      </c>
      <c r="E58" s="218" t="n"/>
      <c r="F58" s="218" t="n"/>
      <c r="G58" s="218" t="n"/>
      <c r="H58" s="218" t="n"/>
      <c r="I58" s="218" t="n"/>
      <c r="J58" s="218" t="n"/>
      <c r="K58" s="218" t="n"/>
      <c r="L58" s="218" t="n"/>
      <c r="M58" s="218" t="n"/>
      <c r="N58" s="218" t="n"/>
      <c r="O58" s="218" t="n"/>
      <c r="P58" s="218" t="n"/>
      <c r="Q58" s="218" t="n"/>
      <c r="R58" s="218" t="n"/>
      <c r="S58" s="218" t="n"/>
      <c r="T58" s="218" t="n"/>
      <c r="U58" s="218" t="n"/>
      <c r="V58" s="218" t="n"/>
      <c r="W58" s="218" t="n"/>
      <c r="X58" s="218" t="n"/>
      <c r="Y58" s="218" t="n"/>
      <c r="Z58" s="218" t="n"/>
      <c r="AA58" s="218" t="n"/>
      <c r="AB58" s="218" t="n"/>
      <c r="AC58" s="218" t="n"/>
      <c r="AD58" s="219" t="n"/>
    </row>
    <row r="59" ht="15" customHeight="1">
      <c r="A59" s="276" t="inlineStr">
        <is>
          <t>Aufschlag je Wert im Endlevel</t>
        </is>
      </c>
      <c r="B59" s="286" t="n">
        <v>4</v>
      </c>
      <c r="C59" s="287" t="n">
        <v>4</v>
      </c>
      <c r="D59" s="279" t="inlineStr">
        <is>
          <t>Punkte, die ein Wert im vierten Band zusaetzlich kostet. Laesst sich nicht wegplanen - er verschwindet erst, wenn oben ein besserer Wert steht.</t>
        </is>
      </c>
      <c r="E59" s="218" t="n"/>
      <c r="F59" s="218" t="n"/>
      <c r="G59" s="218" t="n"/>
      <c r="H59" s="218" t="n"/>
      <c r="I59" s="218" t="n"/>
      <c r="J59" s="218" t="n"/>
      <c r="K59" s="218" t="n"/>
      <c r="L59" s="218" t="n"/>
      <c r="M59" s="218" t="n"/>
      <c r="N59" s="218" t="n"/>
      <c r="O59" s="218" t="n"/>
      <c r="P59" s="218" t="n"/>
      <c r="Q59" s="218" t="n"/>
      <c r="R59" s="218" t="n"/>
      <c r="S59" s="218" t="n"/>
      <c r="T59" s="218" t="n"/>
      <c r="U59" s="218" t="n"/>
      <c r="V59" s="218" t="n"/>
      <c r="W59" s="218" t="n"/>
      <c r="X59" s="218" t="n"/>
      <c r="Y59" s="218" t="n"/>
      <c r="Z59" s="218" t="n"/>
      <c r="AA59" s="218" t="n"/>
      <c r="AB59" s="218" t="n"/>
      <c r="AC59" s="218" t="n"/>
      <c r="AD59" s="219" t="n"/>
    </row>
    <row r="60" ht="15" customHeight="1">
      <c r="A60" s="276" t="inlineStr">
        <is>
          <t>Oral-Abzug im DNA-Bericht: Sockel</t>
        </is>
      </c>
      <c r="B60" s="286" t="n">
        <v>6</v>
      </c>
      <c r="C60" s="287" t="n">
        <v>6</v>
      </c>
      <c r="D60" s="279" t="inlineStr">
        <is>
          <t>Gilt NUR fuer die Uebersicht des DNA-Berichts, wo steht, wie die Leber genetisch auf 17-alpha-alkylierte Substanzen reagiert. Im Stack-Planer haben die Oralen keinen Sammelabzug mehr, sondern stehen einzeln in der Substanzliste.</t>
        </is>
      </c>
      <c r="E60" s="218" t="n"/>
      <c r="F60" s="218" t="n"/>
      <c r="G60" s="218" t="n"/>
      <c r="H60" s="218" t="n"/>
      <c r="I60" s="218" t="n"/>
      <c r="J60" s="218" t="n"/>
      <c r="K60" s="218" t="n"/>
      <c r="L60" s="218" t="n"/>
      <c r="M60" s="218" t="n"/>
      <c r="N60" s="218" t="n"/>
      <c r="O60" s="218" t="n"/>
      <c r="P60" s="218" t="n"/>
      <c r="Q60" s="218" t="n"/>
      <c r="R60" s="218" t="n"/>
      <c r="S60" s="218" t="n"/>
      <c r="T60" s="218" t="n"/>
      <c r="U60" s="218" t="n"/>
      <c r="V60" s="218" t="n"/>
      <c r="W60" s="218" t="n"/>
      <c r="X60" s="218" t="n"/>
      <c r="Y60" s="218" t="n"/>
      <c r="Z60" s="218" t="n"/>
      <c r="AA60" s="218" t="n"/>
      <c r="AB60" s="218" t="n"/>
      <c r="AC60" s="218" t="n"/>
      <c r="AD60" s="219" t="n"/>
    </row>
    <row r="61" ht="15" customHeight="1">
      <c r="A61" s="276" t="inlineStr">
        <is>
          <t>Oral-Abzug im DNA-Bericht: Spanne</t>
        </is>
      </c>
      <c r="B61" s="286" t="n">
        <v>8</v>
      </c>
      <c r="C61" s="287" t="n">
        <v>8</v>
      </c>
      <c r="D61" s="279" t="inlineStr">
        <is>
          <t>Kommt dort oben drauf, skaliert mit der Leber-Genetik.</t>
        </is>
      </c>
      <c r="E61" s="218" t="n"/>
      <c r="F61" s="218" t="n"/>
      <c r="G61" s="218" t="n"/>
      <c r="H61" s="218" t="n"/>
      <c r="I61" s="218" t="n"/>
      <c r="J61" s="218" t="n"/>
      <c r="K61" s="218" t="n"/>
      <c r="L61" s="218" t="n"/>
      <c r="M61" s="218" t="n"/>
      <c r="N61" s="218" t="n"/>
      <c r="O61" s="218" t="n"/>
      <c r="P61" s="218" t="n"/>
      <c r="Q61" s="218" t="n"/>
      <c r="R61" s="218" t="n"/>
      <c r="S61" s="218" t="n"/>
      <c r="T61" s="218" t="n"/>
      <c r="U61" s="218" t="n"/>
      <c r="V61" s="218" t="n"/>
      <c r="W61" s="218" t="n"/>
      <c r="X61" s="218" t="n"/>
      <c r="Y61" s="218" t="n"/>
      <c r="Z61" s="218" t="n"/>
      <c r="AA61" s="218" t="n"/>
      <c r="AB61" s="218" t="n"/>
      <c r="AC61" s="218" t="n"/>
      <c r="AD61" s="219" t="n"/>
    </row>
    <row r="62">
      <c r="A62" s="274" t="inlineStr">
        <is>
          <t>9. Load-Empfindlichkeit je Kategorie</t>
        </is>
      </c>
    </row>
    <row r="63" ht="14" customHeight="1">
      <c r="A63" s="275" t="inlineStr">
        <is>
          <t>Wie stark eine Kategorie ueberhaupt auf die Dosis reagiert. 1,00 = voll, 0,50 = halb, 0,00 = gar nicht. Lp(a) ist genetisch festgelegt und ruehrt sich unter keiner Dosis, die Aortenwand ist strukturell.</t>
        </is>
      </c>
    </row>
    <row r="64" ht="20" customHeight="1">
      <c r="A64" s="76" t="inlineStr">
        <is>
          <t>Stufe oder Groesse</t>
        </is>
      </c>
      <c r="B64" s="76" t="inlineStr">
        <is>
          <t>Wert</t>
        </is>
      </c>
      <c r="C64" s="76" t="inlineStr">
        <is>
          <t>Default</t>
        </is>
      </c>
      <c r="D64" s="76" t="inlineStr">
        <is>
          <t>Bedeutung</t>
        </is>
      </c>
      <c r="E64" s="218" t="n"/>
      <c r="F64" s="218" t="n"/>
      <c r="G64" s="218" t="n"/>
      <c r="H64" s="218" t="n"/>
      <c r="I64" s="218" t="n"/>
      <c r="J64" s="218" t="n"/>
      <c r="K64" s="218" t="n"/>
      <c r="L64" s="218" t="n"/>
      <c r="M64" s="218" t="n"/>
      <c r="N64" s="218" t="n"/>
      <c r="O64" s="218" t="n"/>
      <c r="P64" s="218" t="n"/>
      <c r="Q64" s="218" t="n"/>
      <c r="R64" s="218" t="n"/>
      <c r="S64" s="218" t="n"/>
      <c r="T64" s="218" t="n"/>
      <c r="U64" s="218" t="n"/>
      <c r="V64" s="218" t="n"/>
      <c r="W64" s="218" t="n"/>
      <c r="X64" s="218" t="n"/>
      <c r="Y64" s="218" t="n"/>
      <c r="Z64" s="218" t="n"/>
      <c r="AA64" s="218" t="n"/>
      <c r="AB64" s="218" t="n"/>
      <c r="AC64" s="218" t="n"/>
      <c r="AD64" s="219" t="n"/>
    </row>
    <row r="65" ht="15" customHeight="1">
      <c r="A65" s="276" t="inlineStr">
        <is>
          <t>Blutdruck/RAAS</t>
        </is>
      </c>
      <c r="B65" s="277" t="n">
        <v>1</v>
      </c>
      <c r="C65" s="278" t="n">
        <v>1</v>
      </c>
      <c r="D65" s="279" t="inlineStr">
        <is>
          <t>Reagiert direkt auf die Dosis.</t>
        </is>
      </c>
      <c r="E65" s="218" t="n"/>
      <c r="F65" s="218" t="n"/>
      <c r="G65" s="218" t="n"/>
      <c r="H65" s="218" t="n"/>
      <c r="I65" s="218" t="n"/>
      <c r="J65" s="218" t="n"/>
      <c r="K65" s="218" t="n"/>
      <c r="L65" s="218" t="n"/>
      <c r="M65" s="218" t="n"/>
      <c r="N65" s="218" t="n"/>
      <c r="O65" s="218" t="n"/>
      <c r="P65" s="218" t="n"/>
      <c r="Q65" s="218" t="n"/>
      <c r="R65" s="218" t="n"/>
      <c r="S65" s="218" t="n"/>
      <c r="T65" s="218" t="n"/>
      <c r="U65" s="218" t="n"/>
      <c r="V65" s="218" t="n"/>
      <c r="W65" s="218" t="n"/>
      <c r="X65" s="218" t="n"/>
      <c r="Y65" s="218" t="n"/>
      <c r="Z65" s="218" t="n"/>
      <c r="AA65" s="218" t="n"/>
      <c r="AB65" s="218" t="n"/>
      <c r="AC65" s="218" t="n"/>
      <c r="AD65" s="219" t="n"/>
    </row>
    <row r="66" ht="15" customHeight="1">
      <c r="A66" s="276" t="inlineStr">
        <is>
          <t>Blutfette-HDL</t>
        </is>
      </c>
      <c r="B66" s="277" t="n">
        <v>1</v>
      </c>
      <c r="C66" s="278" t="n">
        <v>1</v>
      </c>
      <c r="D66" s="279" t="inlineStr">
        <is>
          <t>Reagiert direkt auf die Dosis.</t>
        </is>
      </c>
      <c r="E66" s="218" t="n"/>
      <c r="F66" s="218" t="n"/>
      <c r="G66" s="218" t="n"/>
      <c r="H66" s="218" t="n"/>
      <c r="I66" s="218" t="n"/>
      <c r="J66" s="218" t="n"/>
      <c r="K66" s="218" t="n"/>
      <c r="L66" s="218" t="n"/>
      <c r="M66" s="218" t="n"/>
      <c r="N66" s="218" t="n"/>
      <c r="O66" s="218" t="n"/>
      <c r="P66" s="218" t="n"/>
      <c r="Q66" s="218" t="n"/>
      <c r="R66" s="218" t="n"/>
      <c r="S66" s="218" t="n"/>
      <c r="T66" s="218" t="n"/>
      <c r="U66" s="218" t="n"/>
      <c r="V66" s="218" t="n"/>
      <c r="W66" s="218" t="n"/>
      <c r="X66" s="218" t="n"/>
      <c r="Y66" s="218" t="n"/>
      <c r="Z66" s="218" t="n"/>
      <c r="AA66" s="218" t="n"/>
      <c r="AB66" s="218" t="n"/>
      <c r="AC66" s="218" t="n"/>
      <c r="AD66" s="219" t="n"/>
    </row>
    <row r="67" ht="15" customHeight="1">
      <c r="A67" s="276" t="inlineStr">
        <is>
          <t>Blutfette-LDL</t>
        </is>
      </c>
      <c r="B67" s="277" t="n">
        <v>1</v>
      </c>
      <c r="C67" s="278" t="n">
        <v>1</v>
      </c>
      <c r="D67" s="279" t="inlineStr">
        <is>
          <t>Reagiert direkt auf die Dosis.</t>
        </is>
      </c>
      <c r="E67" s="218" t="n"/>
      <c r="F67" s="218" t="n"/>
      <c r="G67" s="218" t="n"/>
      <c r="H67" s="218" t="n"/>
      <c r="I67" s="218" t="n"/>
      <c r="J67" s="218" t="n"/>
      <c r="K67" s="218" t="n"/>
      <c r="L67" s="218" t="n"/>
      <c r="M67" s="218" t="n"/>
      <c r="N67" s="218" t="n"/>
      <c r="O67" s="218" t="n"/>
      <c r="P67" s="218" t="n"/>
      <c r="Q67" s="218" t="n"/>
      <c r="R67" s="218" t="n"/>
      <c r="S67" s="218" t="n"/>
      <c r="T67" s="218" t="n"/>
      <c r="U67" s="218" t="n"/>
      <c r="V67" s="218" t="n"/>
      <c r="W67" s="218" t="n"/>
      <c r="X67" s="218" t="n"/>
      <c r="Y67" s="218" t="n"/>
      <c r="Z67" s="218" t="n"/>
      <c r="AA67" s="218" t="n"/>
      <c r="AB67" s="218" t="n"/>
      <c r="AC67" s="218" t="n"/>
      <c r="AD67" s="219" t="n"/>
    </row>
    <row r="68" ht="15" customHeight="1">
      <c r="A68" s="276" t="inlineStr">
        <is>
          <t>Blutfette-TG</t>
        </is>
      </c>
      <c r="B68" s="277" t="n">
        <v>1</v>
      </c>
      <c r="C68" s="278" t="n">
        <v>1</v>
      </c>
      <c r="D68" s="279" t="inlineStr">
        <is>
          <t>Reagiert direkt auf die Dosis.</t>
        </is>
      </c>
      <c r="E68" s="218" t="n"/>
      <c r="F68" s="218" t="n"/>
      <c r="G68" s="218" t="n"/>
      <c r="H68" s="218" t="n"/>
      <c r="I68" s="218" t="n"/>
      <c r="J68" s="218" t="n"/>
      <c r="K68" s="218" t="n"/>
      <c r="L68" s="218" t="n"/>
      <c r="M68" s="218" t="n"/>
      <c r="N68" s="218" t="n"/>
      <c r="O68" s="218" t="n"/>
      <c r="P68" s="218" t="n"/>
      <c r="Q68" s="218" t="n"/>
      <c r="R68" s="218" t="n"/>
      <c r="S68" s="218" t="n"/>
      <c r="T68" s="218" t="n"/>
      <c r="U68" s="218" t="n"/>
      <c r="V68" s="218" t="n"/>
      <c r="W68" s="218" t="n"/>
      <c r="X68" s="218" t="n"/>
      <c r="Y68" s="218" t="n"/>
      <c r="Z68" s="218" t="n"/>
      <c r="AA68" s="218" t="n"/>
      <c r="AB68" s="218" t="n"/>
      <c r="AC68" s="218" t="n"/>
      <c r="AD68" s="219" t="n"/>
    </row>
    <row r="69" ht="15" customHeight="1">
      <c r="A69" s="276" t="inlineStr">
        <is>
          <t>Glukosestoffwechsel</t>
        </is>
      </c>
      <c r="B69" s="277" t="n">
        <v>1</v>
      </c>
      <c r="C69" s="278" t="n">
        <v>1</v>
      </c>
      <c r="D69" s="279" t="inlineStr">
        <is>
          <t>Reagiert direkt auf die Dosis.</t>
        </is>
      </c>
      <c r="E69" s="218" t="n"/>
      <c r="F69" s="218" t="n"/>
      <c r="G69" s="218" t="n"/>
      <c r="H69" s="218" t="n"/>
      <c r="I69" s="218" t="n"/>
      <c r="J69" s="218" t="n"/>
      <c r="K69" s="218" t="n"/>
      <c r="L69" s="218" t="n"/>
      <c r="M69" s="218" t="n"/>
      <c r="N69" s="218" t="n"/>
      <c r="O69" s="218" t="n"/>
      <c r="P69" s="218" t="n"/>
      <c r="Q69" s="218" t="n"/>
      <c r="R69" s="218" t="n"/>
      <c r="S69" s="218" t="n"/>
      <c r="T69" s="218" t="n"/>
      <c r="U69" s="218" t="n"/>
      <c r="V69" s="218" t="n"/>
      <c r="W69" s="218" t="n"/>
      <c r="X69" s="218" t="n"/>
      <c r="Y69" s="218" t="n"/>
      <c r="Z69" s="218" t="n"/>
      <c r="AA69" s="218" t="n"/>
      <c r="AB69" s="218" t="n"/>
      <c r="AC69" s="218" t="n"/>
      <c r="AD69" s="219" t="n"/>
    </row>
    <row r="70" ht="15" customHeight="1">
      <c r="A70" s="276" t="inlineStr">
        <is>
          <t>Haematokrit/Blutdicke</t>
        </is>
      </c>
      <c r="B70" s="277" t="n">
        <v>1</v>
      </c>
      <c r="C70" s="278" t="n">
        <v>1</v>
      </c>
      <c r="D70" s="279" t="inlineStr">
        <is>
          <t>Reagiert direkt auf die Dosis.</t>
        </is>
      </c>
      <c r="E70" s="218" t="n"/>
      <c r="F70" s="218" t="n"/>
      <c r="G70" s="218" t="n"/>
      <c r="H70" s="218" t="n"/>
      <c r="I70" s="218" t="n"/>
      <c r="J70" s="218" t="n"/>
      <c r="K70" s="218" t="n"/>
      <c r="L70" s="218" t="n"/>
      <c r="M70" s="218" t="n"/>
      <c r="N70" s="218" t="n"/>
      <c r="O70" s="218" t="n"/>
      <c r="P70" s="218" t="n"/>
      <c r="Q70" s="218" t="n"/>
      <c r="R70" s="218" t="n"/>
      <c r="S70" s="218" t="n"/>
      <c r="T70" s="218" t="n"/>
      <c r="U70" s="218" t="n"/>
      <c r="V70" s="218" t="n"/>
      <c r="W70" s="218" t="n"/>
      <c r="X70" s="218" t="n"/>
      <c r="Y70" s="218" t="n"/>
      <c r="Z70" s="218" t="n"/>
      <c r="AA70" s="218" t="n"/>
      <c r="AB70" s="218" t="n"/>
      <c r="AC70" s="218" t="n"/>
      <c r="AD70" s="219" t="n"/>
    </row>
    <row r="71" ht="15" customHeight="1">
      <c r="A71" s="276" t="inlineStr">
        <is>
          <t>Herzmuskel/Hypertrophie</t>
        </is>
      </c>
      <c r="B71" s="277" t="n">
        <v>1</v>
      </c>
      <c r="C71" s="278" t="n">
        <v>1</v>
      </c>
      <c r="D71" s="279" t="inlineStr">
        <is>
          <t>Reagiert direkt auf die Dosis.</t>
        </is>
      </c>
      <c r="E71" s="218" t="n"/>
      <c r="F71" s="218" t="n"/>
      <c r="G71" s="218" t="n"/>
      <c r="H71" s="218" t="n"/>
      <c r="I71" s="218" t="n"/>
      <c r="J71" s="218" t="n"/>
      <c r="K71" s="218" t="n"/>
      <c r="L71" s="218" t="n"/>
      <c r="M71" s="218" t="n"/>
      <c r="N71" s="218" t="n"/>
      <c r="O71" s="218" t="n"/>
      <c r="P71" s="218" t="n"/>
      <c r="Q71" s="218" t="n"/>
      <c r="R71" s="218" t="n"/>
      <c r="S71" s="218" t="n"/>
      <c r="T71" s="218" t="n"/>
      <c r="U71" s="218" t="n"/>
      <c r="V71" s="218" t="n"/>
      <c r="W71" s="218" t="n"/>
      <c r="X71" s="218" t="n"/>
      <c r="Y71" s="218" t="n"/>
      <c r="Z71" s="218" t="n"/>
      <c r="AA71" s="218" t="n"/>
      <c r="AB71" s="218" t="n"/>
      <c r="AC71" s="218" t="n"/>
      <c r="AD71" s="219" t="n"/>
    </row>
    <row r="72" ht="15" customHeight="1">
      <c r="A72" s="276" t="inlineStr">
        <is>
          <t>Leber allgemein</t>
        </is>
      </c>
      <c r="B72" s="277" t="n">
        <v>1</v>
      </c>
      <c r="C72" s="278" t="n">
        <v>1</v>
      </c>
      <c r="D72" s="279" t="inlineStr">
        <is>
          <t>Reagiert direkt auf die Dosis.</t>
        </is>
      </c>
      <c r="E72" s="218" t="n"/>
      <c r="F72" s="218" t="n"/>
      <c r="G72" s="218" t="n"/>
      <c r="H72" s="218" t="n"/>
      <c r="I72" s="218" t="n"/>
      <c r="J72" s="218" t="n"/>
      <c r="K72" s="218" t="n"/>
      <c r="L72" s="218" t="n"/>
      <c r="M72" s="218" t="n"/>
      <c r="N72" s="218" t="n"/>
      <c r="O72" s="218" t="n"/>
      <c r="P72" s="218" t="n"/>
      <c r="Q72" s="218" t="n"/>
      <c r="R72" s="218" t="n"/>
      <c r="S72" s="218" t="n"/>
      <c r="T72" s="218" t="n"/>
      <c r="U72" s="218" t="n"/>
      <c r="V72" s="218" t="n"/>
      <c r="W72" s="218" t="n"/>
      <c r="X72" s="218" t="n"/>
      <c r="Y72" s="218" t="n"/>
      <c r="Z72" s="218" t="n"/>
      <c r="AA72" s="218" t="n"/>
      <c r="AB72" s="218" t="n"/>
      <c r="AC72" s="218" t="n"/>
      <c r="AD72" s="219" t="n"/>
    </row>
    <row r="73" ht="15" customHeight="1">
      <c r="A73" s="276" t="inlineStr">
        <is>
          <t>Psyche</t>
        </is>
      </c>
      <c r="B73" s="277" t="n">
        <v>1</v>
      </c>
      <c r="C73" s="278" t="n">
        <v>1</v>
      </c>
      <c r="D73" s="279" t="inlineStr">
        <is>
          <t>Reagiert direkt auf die Dosis.</t>
        </is>
      </c>
      <c r="E73" s="218" t="n"/>
      <c r="F73" s="218" t="n"/>
      <c r="G73" s="218" t="n"/>
      <c r="H73" s="218" t="n"/>
      <c r="I73" s="218" t="n"/>
      <c r="J73" s="218" t="n"/>
      <c r="K73" s="218" t="n"/>
      <c r="L73" s="218" t="n"/>
      <c r="M73" s="218" t="n"/>
      <c r="N73" s="218" t="n"/>
      <c r="O73" s="218" t="n"/>
      <c r="P73" s="218" t="n"/>
      <c r="Q73" s="218" t="n"/>
      <c r="R73" s="218" t="n"/>
      <c r="S73" s="218" t="n"/>
      <c r="T73" s="218" t="n"/>
      <c r="U73" s="218" t="n"/>
      <c r="V73" s="218" t="n"/>
      <c r="W73" s="218" t="n"/>
      <c r="X73" s="218" t="n"/>
      <c r="Y73" s="218" t="n"/>
      <c r="Z73" s="218" t="n"/>
      <c r="AA73" s="218" t="n"/>
      <c r="AB73" s="218" t="n"/>
      <c r="AC73" s="218" t="n"/>
      <c r="AD73" s="219" t="n"/>
    </row>
    <row r="74" ht="15" customHeight="1">
      <c r="A74" s="276" t="inlineStr">
        <is>
          <t>Thrombose/Blutgerinnung</t>
        </is>
      </c>
      <c r="B74" s="277" t="n">
        <v>1</v>
      </c>
      <c r="C74" s="278" t="n">
        <v>1</v>
      </c>
      <c r="D74" s="279" t="inlineStr">
        <is>
          <t>Reagiert direkt auf die Dosis.</t>
        </is>
      </c>
      <c r="E74" s="218" t="n"/>
      <c r="F74" s="218" t="n"/>
      <c r="G74" s="218" t="n"/>
      <c r="H74" s="218" t="n"/>
      <c r="I74" s="218" t="n"/>
      <c r="J74" s="218" t="n"/>
      <c r="K74" s="218" t="n"/>
      <c r="L74" s="218" t="n"/>
      <c r="M74" s="218" t="n"/>
      <c r="N74" s="218" t="n"/>
      <c r="O74" s="218" t="n"/>
      <c r="P74" s="218" t="n"/>
      <c r="Q74" s="218" t="n"/>
      <c r="R74" s="218" t="n"/>
      <c r="S74" s="218" t="n"/>
      <c r="T74" s="218" t="n"/>
      <c r="U74" s="218" t="n"/>
      <c r="V74" s="218" t="n"/>
      <c r="W74" s="218" t="n"/>
      <c r="X74" s="218" t="n"/>
      <c r="Y74" s="218" t="n"/>
      <c r="Z74" s="218" t="n"/>
      <c r="AA74" s="218" t="n"/>
      <c r="AB74" s="218" t="n"/>
      <c r="AC74" s="218" t="n"/>
      <c r="AD74" s="219" t="n"/>
    </row>
    <row r="75" ht="15" customHeight="1">
      <c r="A75" s="276" t="inlineStr">
        <is>
          <t>Aromatase/E2</t>
        </is>
      </c>
      <c r="B75" s="277" t="n">
        <v>0.5</v>
      </c>
      <c r="C75" s="278" t="n">
        <v>0.5</v>
      </c>
      <c r="D75" s="279" t="inlineStr">
        <is>
          <t>Reagiert abgeschwaecht.</t>
        </is>
      </c>
      <c r="E75" s="218" t="n"/>
      <c r="F75" s="218" t="n"/>
      <c r="G75" s="218" t="n"/>
      <c r="H75" s="218" t="n"/>
      <c r="I75" s="218" t="n"/>
      <c r="J75" s="218" t="n"/>
      <c r="K75" s="218" t="n"/>
      <c r="L75" s="218" t="n"/>
      <c r="M75" s="218" t="n"/>
      <c r="N75" s="218" t="n"/>
      <c r="O75" s="218" t="n"/>
      <c r="P75" s="218" t="n"/>
      <c r="Q75" s="218" t="n"/>
      <c r="R75" s="218" t="n"/>
      <c r="S75" s="218" t="n"/>
      <c r="T75" s="218" t="n"/>
      <c r="U75" s="218" t="n"/>
      <c r="V75" s="218" t="n"/>
      <c r="W75" s="218" t="n"/>
      <c r="X75" s="218" t="n"/>
      <c r="Y75" s="218" t="n"/>
      <c r="Z75" s="218" t="n"/>
      <c r="AA75" s="218" t="n"/>
      <c r="AB75" s="218" t="n"/>
      <c r="AC75" s="218" t="n"/>
      <c r="AD75" s="219" t="n"/>
    </row>
    <row r="76" ht="15" customHeight="1">
      <c r="A76" s="276" t="inlineStr">
        <is>
          <t>Gefaesse/Atherosklerose</t>
        </is>
      </c>
      <c r="B76" s="277" t="n">
        <v>0.5</v>
      </c>
      <c r="C76" s="278" t="n">
        <v>0.5</v>
      </c>
      <c r="D76" s="279" t="inlineStr">
        <is>
          <t>Reagiert abgeschwaecht.</t>
        </is>
      </c>
      <c r="E76" s="218" t="n"/>
      <c r="F76" s="218" t="n"/>
      <c r="G76" s="218" t="n"/>
      <c r="H76" s="218" t="n"/>
      <c r="I76" s="218" t="n"/>
      <c r="J76" s="218" t="n"/>
      <c r="K76" s="218" t="n"/>
      <c r="L76" s="218" t="n"/>
      <c r="M76" s="218" t="n"/>
      <c r="N76" s="218" t="n"/>
      <c r="O76" s="218" t="n"/>
      <c r="P76" s="218" t="n"/>
      <c r="Q76" s="218" t="n"/>
      <c r="R76" s="218" t="n"/>
      <c r="S76" s="218" t="n"/>
      <c r="T76" s="218" t="n"/>
      <c r="U76" s="218" t="n"/>
      <c r="V76" s="218" t="n"/>
      <c r="W76" s="218" t="n"/>
      <c r="X76" s="218" t="n"/>
      <c r="Y76" s="218" t="n"/>
      <c r="Z76" s="218" t="n"/>
      <c r="AA76" s="218" t="n"/>
      <c r="AB76" s="218" t="n"/>
      <c r="AC76" s="218" t="n"/>
      <c r="AD76" s="219" t="n"/>
    </row>
    <row r="77" ht="15" customHeight="1">
      <c r="A77" s="276" t="inlineStr">
        <is>
          <t>Gefaesswand/Aorta/Lunge</t>
        </is>
      </c>
      <c r="B77" s="277" t="n">
        <v>0.5</v>
      </c>
      <c r="C77" s="278" t="n">
        <v>0.5</v>
      </c>
      <c r="D77" s="279" t="inlineStr">
        <is>
          <t>Reagiert abgeschwaecht.</t>
        </is>
      </c>
      <c r="E77" s="218" t="n"/>
      <c r="F77" s="218" t="n"/>
      <c r="G77" s="218" t="n"/>
      <c r="H77" s="218" t="n"/>
      <c r="I77" s="218" t="n"/>
      <c r="J77" s="218" t="n"/>
      <c r="K77" s="218" t="n"/>
      <c r="L77" s="218" t="n"/>
      <c r="M77" s="218" t="n"/>
      <c r="N77" s="218" t="n"/>
      <c r="O77" s="218" t="n"/>
      <c r="P77" s="218" t="n"/>
      <c r="Q77" s="218" t="n"/>
      <c r="R77" s="218" t="n"/>
      <c r="S77" s="218" t="n"/>
      <c r="T77" s="218" t="n"/>
      <c r="U77" s="218" t="n"/>
      <c r="V77" s="218" t="n"/>
      <c r="W77" s="218" t="n"/>
      <c r="X77" s="218" t="n"/>
      <c r="Y77" s="218" t="n"/>
      <c r="Z77" s="218" t="n"/>
      <c r="AA77" s="218" t="n"/>
      <c r="AB77" s="218" t="n"/>
      <c r="AC77" s="218" t="n"/>
      <c r="AD77" s="219" t="n"/>
    </row>
    <row r="78" ht="15" customHeight="1">
      <c r="A78" s="276" t="inlineStr">
        <is>
          <t>Herzrhythmus</t>
        </is>
      </c>
      <c r="B78" s="277" t="n">
        <v>0.5</v>
      </c>
      <c r="C78" s="278" t="n">
        <v>0.5</v>
      </c>
      <c r="D78" s="279" t="inlineStr">
        <is>
          <t>Reagiert abgeschwaecht.</t>
        </is>
      </c>
      <c r="E78" s="218" t="n"/>
      <c r="F78" s="218" t="n"/>
      <c r="G78" s="218" t="n"/>
      <c r="H78" s="218" t="n"/>
      <c r="I78" s="218" t="n"/>
      <c r="J78" s="218" t="n"/>
      <c r="K78" s="218" t="n"/>
      <c r="L78" s="218" t="n"/>
      <c r="M78" s="218" t="n"/>
      <c r="N78" s="218" t="n"/>
      <c r="O78" s="218" t="n"/>
      <c r="P78" s="218" t="n"/>
      <c r="Q78" s="218" t="n"/>
      <c r="R78" s="218" t="n"/>
      <c r="S78" s="218" t="n"/>
      <c r="T78" s="218" t="n"/>
      <c r="U78" s="218" t="n"/>
      <c r="V78" s="218" t="n"/>
      <c r="W78" s="218" t="n"/>
      <c r="X78" s="218" t="n"/>
      <c r="Y78" s="218" t="n"/>
      <c r="Z78" s="218" t="n"/>
      <c r="AA78" s="218" t="n"/>
      <c r="AB78" s="218" t="n"/>
      <c r="AC78" s="218" t="n"/>
      <c r="AD78" s="219" t="n"/>
    </row>
    <row r="79" ht="15" customHeight="1">
      <c r="A79" s="276" t="inlineStr">
        <is>
          <t>Nierenfunktion</t>
        </is>
      </c>
      <c r="B79" s="277" t="n">
        <v>0.5</v>
      </c>
      <c r="C79" s="278" t="n">
        <v>0.5</v>
      </c>
      <c r="D79" s="279" t="inlineStr">
        <is>
          <t>Reagiert abgeschwaecht.</t>
        </is>
      </c>
      <c r="E79" s="218" t="n"/>
      <c r="F79" s="218" t="n"/>
      <c r="G79" s="218" t="n"/>
      <c r="H79" s="218" t="n"/>
      <c r="I79" s="218" t="n"/>
      <c r="J79" s="218" t="n"/>
      <c r="K79" s="218" t="n"/>
      <c r="L79" s="218" t="n"/>
      <c r="M79" s="218" t="n"/>
      <c r="N79" s="218" t="n"/>
      <c r="O79" s="218" t="n"/>
      <c r="P79" s="218" t="n"/>
      <c r="Q79" s="218" t="n"/>
      <c r="R79" s="218" t="n"/>
      <c r="S79" s="218" t="n"/>
      <c r="T79" s="218" t="n"/>
      <c r="U79" s="218" t="n"/>
      <c r="V79" s="218" t="n"/>
      <c r="W79" s="218" t="n"/>
      <c r="X79" s="218" t="n"/>
      <c r="Y79" s="218" t="n"/>
      <c r="Z79" s="218" t="n"/>
      <c r="AA79" s="218" t="n"/>
      <c r="AB79" s="218" t="n"/>
      <c r="AC79" s="218" t="n"/>
      <c r="AD79" s="219" t="n"/>
    </row>
    <row r="80" ht="15" customHeight="1">
      <c r="A80" s="276" t="inlineStr">
        <is>
          <t>Blutfette-Lp(a)</t>
        </is>
      </c>
      <c r="B80" s="277" t="n">
        <v>0</v>
      </c>
      <c r="C80" s="278" t="n">
        <v>0</v>
      </c>
      <c r="D80" s="279" t="inlineStr">
        <is>
          <t>Reagiert nicht auf die Dosis.</t>
        </is>
      </c>
      <c r="E80" s="218" t="n"/>
      <c r="F80" s="218" t="n"/>
      <c r="G80" s="218" t="n"/>
      <c r="H80" s="218" t="n"/>
      <c r="I80" s="218" t="n"/>
      <c r="J80" s="218" t="n"/>
      <c r="K80" s="218" t="n"/>
      <c r="L80" s="218" t="n"/>
      <c r="M80" s="218" t="n"/>
      <c r="N80" s="218" t="n"/>
      <c r="O80" s="218" t="n"/>
      <c r="P80" s="218" t="n"/>
      <c r="Q80" s="218" t="n"/>
      <c r="R80" s="218" t="n"/>
      <c r="S80" s="218" t="n"/>
      <c r="T80" s="218" t="n"/>
      <c r="U80" s="218" t="n"/>
      <c r="V80" s="218" t="n"/>
      <c r="W80" s="218" t="n"/>
      <c r="X80" s="218" t="n"/>
      <c r="Y80" s="218" t="n"/>
      <c r="Z80" s="218" t="n"/>
      <c r="AA80" s="218" t="n"/>
      <c r="AB80" s="218" t="n"/>
      <c r="AC80" s="218" t="n"/>
      <c r="AD80" s="219" t="n"/>
    </row>
    <row r="81"/>
    <row r="82"/>
    <row r="83"/>
    <row r="84"/>
    <row r="85">
      <c r="A85" s="273" t="inlineStr">
        <is>
          <t>Systeme - wo die Kette reisst</t>
        </is>
      </c>
    </row>
    <row r="86" ht="92" customHeight="1">
      <c r="A86" s="275" t="inlineStr">
        <is>
          <t>16 Systeme, jedes fuer sich gerechnet. Von links nach rechts: was die Angaben oben (Dosis, Blutwert) fuer dieses System bedeuten, was der Stack an Last drauflegt und was er an Schutz zurueckholt, der Endindex daraus - und daraus der Gefahrenfaktor dieses einen Systems. Last und Schutz stehen getrennt, weil sie verschieden wirken: Last frisst den gesunden Rest und saettigt (Endindex = 1 - (1 - Index) hoch Last), Schutz nimmt einen Anteil vom Schaden weg (mal Schutzfaktor). Ohne diese Trennung lief der Schaden in den Deckel bei 1 und ab dort waren Oxandrolon und Methandienon gleich schlimm. Erst danach wird zusammengefasst, und genau das ist der Unterschied zur frueheren Fassung: dort wurden die Maluspunkte aller Systeme addiert, weshalb ein gutes LDL einen zerstoerten Herzmuskel aufwiegen konnte. Weil die Gefahrenkurve nach oben wegzieht, geht das jetzt nicht mehr - ein System am Anschlag treibt die Uhr, auch wenn alles andere gruen ist. Sind alle Systeme gleich belastet, kommt genau dasselbe heraus wie vorher. Nichts hier eintragen; alles kommt aus dem Stack-Planer.</t>
        </is>
      </c>
    </row>
    <row r="87"/>
    <row r="88">
      <c r="A88" s="288" t="inlineStr">
        <is>
          <t>Aufschlag aus Endlevel-Werten</t>
        </is>
      </c>
      <c r="D88" s="289">
        <f>((Parameter!$B$36/100)/MAX(Parameter!$B$37,(Parameter!$B$36/100)-(Parameter!$B$59*SUM('Stack-Planer'!$G$93:$V$93))/100))^Parameter!$B$38</f>
        <v/>
      </c>
      <c r="E88" s="290" t="inlineStr">
        <is>
          <t>Punkte, die an keinem einzelnen System haengen, ueber dieselbe Kurve umgerechnet.</t>
        </is>
      </c>
    </row>
    <row r="89">
      <c r="A89" s="288" t="inlineStr">
        <is>
          <t>Schadensmultiplikator jetzt</t>
        </is>
      </c>
      <c r="D89" s="289">
        <f>SUM(K$97:K$112)^(1/Parameter!$B$40)*$D$88</f>
        <v/>
      </c>
      <c r="E89" s="290" t="inlineStr">
        <is>
          <t>Gewichtetes Mittel der Gefahrenfaktoren, mal Aufschlag.</t>
        </is>
      </c>
    </row>
    <row r="90">
      <c r="A90" s="288" t="inlineStr">
        <is>
          <t>Schadensmultiplikator nach den Massnahmen</t>
        </is>
      </c>
      <c r="D90" s="289">
        <f>SUM(L$97:L$112)^(1/Parameter!$B$40)*$D$88</f>
        <v/>
      </c>
      <c r="E90" s="290" t="inlineStr"/>
    </row>
    <row r="91">
      <c r="A91" s="288" t="inlineStr">
        <is>
          <t>Punkte jetzt</t>
        </is>
      </c>
      <c r="D91" s="291">
        <f>MAX(0,MIN(100,Parameter!$B$36/$D$89^(1/Parameter!$B$38)))</f>
        <v/>
      </c>
      <c r="E91" s="290" t="inlineStr">
        <is>
          <t>Dieselbe Skala wie bisher: 80.0 Punkte heisst Multiplikator 1,00.</t>
        </is>
      </c>
    </row>
    <row r="92">
      <c r="A92" s="288" t="inlineStr">
        <is>
          <t>Punkte nach den Massnahmen</t>
        </is>
      </c>
      <c r="D92" s="291">
        <f>MAX(0,MIN(100,Parameter!$B$36/$D$90^(1/Parameter!$B$38)))</f>
        <v/>
      </c>
      <c r="E92" s="290" t="inlineStr"/>
    </row>
    <row r="93">
      <c r="A93" s="230" t="inlineStr">
        <is>
          <t>schwaechstes Glied</t>
        </is>
      </c>
      <c r="D93" s="292">
        <f>INDEX($A$97:$A$112,MATCH(MAX($H$97:$H$112),$H$97:$H$112,0))&amp;" - "&amp;TEXT(MAX($H$97:$H$112),"0%")&amp;" vom Tempo"</f>
        <v/>
      </c>
      <c r="E93" s="218" t="n"/>
      <c r="F93" s="218" t="n"/>
      <c r="G93" s="219" t="n"/>
    </row>
    <row r="94"/>
    <row r="95"/>
    <row r="96" ht="44" customHeight="1">
      <c r="A96" s="76" t="inlineStr">
        <is>
          <t>System</t>
        </is>
      </c>
      <c r="B96" s="76" t="inlineStr">
        <is>
          <t>Gewicht</t>
        </is>
      </c>
      <c r="C96" s="76" t="inlineStr">
        <is>
          <t>Index aus Load und Blutwert</t>
        </is>
      </c>
      <c r="D96" s="76" t="inlineStr">
        <is>
          <t>Stack: Last</t>
        </is>
      </c>
      <c r="E96" s="76" t="inlineStr">
        <is>
          <t>Stack: Schutz</t>
        </is>
      </c>
      <c r="F96" s="76" t="inlineStr">
        <is>
          <t>Endindex jetzt</t>
        </is>
      </c>
      <c r="G96" s="76" t="inlineStr">
        <is>
          <t>Gefahr jetzt</t>
        </is>
      </c>
      <c r="H96" s="76" t="inlineStr">
        <is>
          <t>Anteil am Tempo</t>
        </is>
      </c>
      <c r="I96" s="76" t="inlineStr">
        <is>
          <t>Endindex nach Massnahmen</t>
        </is>
      </c>
      <c r="J96" s="76" t="inlineStr">
        <is>
          <t>Gefahr nach</t>
        </is>
      </c>
    </row>
    <row r="97" ht="13" customHeight="1">
      <c r="A97" s="293" t="inlineStr">
        <is>
          <t>Haematokrit/Blutdicke</t>
        </is>
      </c>
      <c r="B97" s="294" t="n">
        <v>8.33333333</v>
      </c>
      <c r="C97" s="295">
        <f>'Stack-Planer'!G95</f>
        <v/>
      </c>
      <c r="D97" s="295">
        <f>'Stack-Planer'!G209</f>
        <v/>
      </c>
      <c r="E97" s="295">
        <f>'Stack-Planer'!G174</f>
        <v/>
      </c>
      <c r="F97" s="295">
        <f>'Stack-Planer'!G325</f>
        <v/>
      </c>
      <c r="G97" s="295">
        <f>((Parameter!$B$36/100)/MAX(Parameter!$B$37,1-F97))^Parameter!$B$38</f>
        <v/>
      </c>
      <c r="H97" s="296">
        <f>B97*G97/SUMPRODUCT($B$97:$B$112,$G$97:$G$112)</f>
        <v/>
      </c>
      <c r="I97" s="295">
        <f>'Stack-Planer'!G326</f>
        <v/>
      </c>
      <c r="J97" s="295">
        <f>((Parameter!$B$36/100)/MAX(Parameter!$B$37,1-I97))^Parameter!$B$38</f>
        <v/>
      </c>
      <c r="K97" s="297">
        <f>B97/100*G97^Parameter!$B$40</f>
        <v/>
      </c>
      <c r="L97" s="297">
        <f>B97/100*J97^Parameter!$B$40</f>
        <v/>
      </c>
    </row>
    <row r="98" ht="13" customHeight="1">
      <c r="A98" s="293" t="inlineStr">
        <is>
          <t>Blutfette-HDL</t>
        </is>
      </c>
      <c r="B98" s="294" t="n">
        <v>8.33333333</v>
      </c>
      <c r="C98" s="295">
        <f>'Stack-Planer'!H95</f>
        <v/>
      </c>
      <c r="D98" s="295">
        <f>'Stack-Planer'!H209</f>
        <v/>
      </c>
      <c r="E98" s="295">
        <f>'Stack-Planer'!H174</f>
        <v/>
      </c>
      <c r="F98" s="295">
        <f>'Stack-Planer'!H325</f>
        <v/>
      </c>
      <c r="G98" s="295">
        <f>((Parameter!$B$36/100)/MAX(Parameter!$B$37,1-F98))^Parameter!$B$38</f>
        <v/>
      </c>
      <c r="H98" s="296">
        <f>B98*G98/SUMPRODUCT($B$97:$B$112,$G$97:$G$112)</f>
        <v/>
      </c>
      <c r="I98" s="295">
        <f>'Stack-Planer'!H326</f>
        <v/>
      </c>
      <c r="J98" s="295">
        <f>((Parameter!$B$36/100)/MAX(Parameter!$B$37,1-I98))^Parameter!$B$38</f>
        <v/>
      </c>
      <c r="K98" s="297">
        <f>B98/100*G98^Parameter!$B$40</f>
        <v/>
      </c>
      <c r="L98" s="297">
        <f>B98/100*J98^Parameter!$B$40</f>
        <v/>
      </c>
    </row>
    <row r="99" ht="13" customHeight="1">
      <c r="A99" s="293" t="inlineStr">
        <is>
          <t>Blutfette-LDL</t>
        </is>
      </c>
      <c r="B99" s="294" t="n">
        <v>8.33333333</v>
      </c>
      <c r="C99" s="295">
        <f>'Stack-Planer'!I95</f>
        <v/>
      </c>
      <c r="D99" s="295">
        <f>'Stack-Planer'!I209</f>
        <v/>
      </c>
      <c r="E99" s="295">
        <f>'Stack-Planer'!I174</f>
        <v/>
      </c>
      <c r="F99" s="295">
        <f>'Stack-Planer'!I325</f>
        <v/>
      </c>
      <c r="G99" s="295">
        <f>((Parameter!$B$36/100)/MAX(Parameter!$B$37,1-F99))^Parameter!$B$38</f>
        <v/>
      </c>
      <c r="H99" s="296">
        <f>B99*G99/SUMPRODUCT($B$97:$B$112,$G$97:$G$112)</f>
        <v/>
      </c>
      <c r="I99" s="295">
        <f>'Stack-Planer'!I326</f>
        <v/>
      </c>
      <c r="J99" s="295">
        <f>((Parameter!$B$36/100)/MAX(Parameter!$B$37,1-I99))^Parameter!$B$38</f>
        <v/>
      </c>
      <c r="K99" s="297">
        <f>B99/100*G99^Parameter!$B$40</f>
        <v/>
      </c>
      <c r="L99" s="297">
        <f>B99/100*J99^Parameter!$B$40</f>
        <v/>
      </c>
    </row>
    <row r="100" ht="13" customHeight="1">
      <c r="A100" s="293" t="inlineStr">
        <is>
          <t>Blutdruck/RAAS</t>
        </is>
      </c>
      <c r="B100" s="294" t="n">
        <v>8.33333333</v>
      </c>
      <c r="C100" s="295">
        <f>'Stack-Planer'!J95</f>
        <v/>
      </c>
      <c r="D100" s="295">
        <f>'Stack-Planer'!J209</f>
        <v/>
      </c>
      <c r="E100" s="295">
        <f>'Stack-Planer'!J174</f>
        <v/>
      </c>
      <c r="F100" s="295">
        <f>'Stack-Planer'!J325</f>
        <v/>
      </c>
      <c r="G100" s="295">
        <f>((Parameter!$B$36/100)/MAX(Parameter!$B$37,1-F100))^Parameter!$B$38</f>
        <v/>
      </c>
      <c r="H100" s="296">
        <f>B100*G100/SUMPRODUCT($B$97:$B$112,$G$97:$G$112)</f>
        <v/>
      </c>
      <c r="I100" s="295">
        <f>'Stack-Planer'!J326</f>
        <v/>
      </c>
      <c r="J100" s="295">
        <f>((Parameter!$B$36/100)/MAX(Parameter!$B$37,1-I100))^Parameter!$B$38</f>
        <v/>
      </c>
      <c r="K100" s="297">
        <f>B100/100*G100^Parameter!$B$40</f>
        <v/>
      </c>
      <c r="L100" s="297">
        <f>B100/100*J100^Parameter!$B$40</f>
        <v/>
      </c>
    </row>
    <row r="101" ht="13" customHeight="1">
      <c r="A101" s="293" t="inlineStr">
        <is>
          <t>Herzmuskel/Hypertrophie</t>
        </is>
      </c>
      <c r="B101" s="294" t="n">
        <v>8.33333333</v>
      </c>
      <c r="C101" s="295">
        <f>'Stack-Planer'!K95</f>
        <v/>
      </c>
      <c r="D101" s="295">
        <f>'Stack-Planer'!K209</f>
        <v/>
      </c>
      <c r="E101" s="295">
        <f>'Stack-Planer'!K174</f>
        <v/>
      </c>
      <c r="F101" s="295">
        <f>'Stack-Planer'!K325</f>
        <v/>
      </c>
      <c r="G101" s="295">
        <f>((Parameter!$B$36/100)/MAX(Parameter!$B$37,1-F101))^Parameter!$B$38</f>
        <v/>
      </c>
      <c r="H101" s="296">
        <f>B101*G101/SUMPRODUCT($B$97:$B$112,$G$97:$G$112)</f>
        <v/>
      </c>
      <c r="I101" s="295">
        <f>'Stack-Planer'!K326</f>
        <v/>
      </c>
      <c r="J101" s="295">
        <f>((Parameter!$B$36/100)/MAX(Parameter!$B$37,1-I101))^Parameter!$B$38</f>
        <v/>
      </c>
      <c r="K101" s="297">
        <f>B101/100*G101^Parameter!$B$40</f>
        <v/>
      </c>
      <c r="L101" s="297">
        <f>B101/100*J101^Parameter!$B$40</f>
        <v/>
      </c>
    </row>
    <row r="102" ht="13" customHeight="1">
      <c r="A102" s="293" t="inlineStr">
        <is>
          <t>Gefaesse/Atherosklerose</t>
        </is>
      </c>
      <c r="B102" s="294" t="n">
        <v>8.33333333</v>
      </c>
      <c r="C102" s="295">
        <f>'Stack-Planer'!L95</f>
        <v/>
      </c>
      <c r="D102" s="295">
        <f>'Stack-Planer'!L209</f>
        <v/>
      </c>
      <c r="E102" s="295">
        <f>'Stack-Planer'!L174</f>
        <v/>
      </c>
      <c r="F102" s="295">
        <f>'Stack-Planer'!L325</f>
        <v/>
      </c>
      <c r="G102" s="295">
        <f>((Parameter!$B$36/100)/MAX(Parameter!$B$37,1-F102))^Parameter!$B$38</f>
        <v/>
      </c>
      <c r="H102" s="296">
        <f>B102*G102/SUMPRODUCT($B$97:$B$112,$G$97:$G$112)</f>
        <v/>
      </c>
      <c r="I102" s="295">
        <f>'Stack-Planer'!L326</f>
        <v/>
      </c>
      <c r="J102" s="295">
        <f>((Parameter!$B$36/100)/MAX(Parameter!$B$37,1-I102))^Parameter!$B$38</f>
        <v/>
      </c>
      <c r="K102" s="297">
        <f>B102/100*G102^Parameter!$B$40</f>
        <v/>
      </c>
      <c r="L102" s="297">
        <f>B102/100*J102^Parameter!$B$40</f>
        <v/>
      </c>
    </row>
    <row r="103" ht="13" customHeight="1">
      <c r="A103" s="293" t="inlineStr">
        <is>
          <t>Thrombose/Blutgerinnung</t>
        </is>
      </c>
      <c r="B103" s="294" t="n">
        <v>8.33333333</v>
      </c>
      <c r="C103" s="295">
        <f>'Stack-Planer'!M95</f>
        <v/>
      </c>
      <c r="D103" s="295">
        <f>'Stack-Planer'!M209</f>
        <v/>
      </c>
      <c r="E103" s="295">
        <f>'Stack-Planer'!M174</f>
        <v/>
      </c>
      <c r="F103" s="295">
        <f>'Stack-Planer'!M325</f>
        <v/>
      </c>
      <c r="G103" s="295">
        <f>((Parameter!$B$36/100)/MAX(Parameter!$B$37,1-F103))^Parameter!$B$38</f>
        <v/>
      </c>
      <c r="H103" s="296">
        <f>B103*G103/SUMPRODUCT($B$97:$B$112,$G$97:$G$112)</f>
        <v/>
      </c>
      <c r="I103" s="295">
        <f>'Stack-Planer'!M326</f>
        <v/>
      </c>
      <c r="J103" s="295">
        <f>((Parameter!$B$36/100)/MAX(Parameter!$B$37,1-I103))^Parameter!$B$38</f>
        <v/>
      </c>
      <c r="K103" s="297">
        <f>B103/100*G103^Parameter!$B$40</f>
        <v/>
      </c>
      <c r="L103" s="297">
        <f>B103/100*J103^Parameter!$B$40</f>
        <v/>
      </c>
    </row>
    <row r="104" ht="13" customHeight="1">
      <c r="A104" s="293" t="inlineStr">
        <is>
          <t>Psyche</t>
        </is>
      </c>
      <c r="B104" s="294" t="n">
        <v>8.33333333</v>
      </c>
      <c r="C104" s="295">
        <f>'Stack-Planer'!N95</f>
        <v/>
      </c>
      <c r="D104" s="295">
        <f>'Stack-Planer'!N209</f>
        <v/>
      </c>
      <c r="E104" s="295">
        <f>'Stack-Planer'!N174</f>
        <v/>
      </c>
      <c r="F104" s="295">
        <f>'Stack-Planer'!N325</f>
        <v/>
      </c>
      <c r="G104" s="295">
        <f>((Parameter!$B$36/100)/MAX(Parameter!$B$37,1-F104))^Parameter!$B$38</f>
        <v/>
      </c>
      <c r="H104" s="296">
        <f>B104*G104/SUMPRODUCT($B$97:$B$112,$G$97:$G$112)</f>
        <v/>
      </c>
      <c r="I104" s="295">
        <f>'Stack-Planer'!N326</f>
        <v/>
      </c>
      <c r="J104" s="295">
        <f>((Parameter!$B$36/100)/MAX(Parameter!$B$37,1-I104))^Parameter!$B$38</f>
        <v/>
      </c>
      <c r="K104" s="297">
        <f>B104/100*G104^Parameter!$B$40</f>
        <v/>
      </c>
      <c r="L104" s="297">
        <f>B104/100*J104^Parameter!$B$40</f>
        <v/>
      </c>
    </row>
    <row r="105" ht="13" customHeight="1">
      <c r="A105" s="293" t="inlineStr">
        <is>
          <t>Gefaesswand/Aorta/Lunge</t>
        </is>
      </c>
      <c r="B105" s="294" t="n">
        <v>8.33333333</v>
      </c>
      <c r="C105" s="295">
        <f>'Stack-Planer'!O95</f>
        <v/>
      </c>
      <c r="D105" s="295">
        <f>'Stack-Planer'!O209</f>
        <v/>
      </c>
      <c r="E105" s="295">
        <f>'Stack-Planer'!O174</f>
        <v/>
      </c>
      <c r="F105" s="295">
        <f>'Stack-Planer'!O325</f>
        <v/>
      </c>
      <c r="G105" s="295">
        <f>((Parameter!$B$36/100)/MAX(Parameter!$B$37,1-F105))^Parameter!$B$38</f>
        <v/>
      </c>
      <c r="H105" s="296">
        <f>B105*G105/SUMPRODUCT($B$97:$B$112,$G$97:$G$112)</f>
        <v/>
      </c>
      <c r="I105" s="295">
        <f>'Stack-Planer'!O326</f>
        <v/>
      </c>
      <c r="J105" s="295">
        <f>((Parameter!$B$36/100)/MAX(Parameter!$B$37,1-I105))^Parameter!$B$38</f>
        <v/>
      </c>
      <c r="K105" s="297">
        <f>B105/100*G105^Parameter!$B$40</f>
        <v/>
      </c>
      <c r="L105" s="297">
        <f>B105/100*J105^Parameter!$B$40</f>
        <v/>
      </c>
    </row>
    <row r="106" ht="13" customHeight="1">
      <c r="A106" s="293" t="inlineStr">
        <is>
          <t>Blutfette-TG</t>
        </is>
      </c>
      <c r="B106" s="294" t="n">
        <v>4.16666667</v>
      </c>
      <c r="C106" s="295">
        <f>'Stack-Planer'!P95</f>
        <v/>
      </c>
      <c r="D106" s="295">
        <f>'Stack-Planer'!P209</f>
        <v/>
      </c>
      <c r="E106" s="295">
        <f>'Stack-Planer'!P174</f>
        <v/>
      </c>
      <c r="F106" s="295">
        <f>'Stack-Planer'!P325</f>
        <v/>
      </c>
      <c r="G106" s="295">
        <f>((Parameter!$B$36/100)/MAX(Parameter!$B$37,1-F106))^Parameter!$B$38</f>
        <v/>
      </c>
      <c r="H106" s="296">
        <f>B106*G106/SUMPRODUCT($B$97:$B$112,$G$97:$G$112)</f>
        <v/>
      </c>
      <c r="I106" s="295">
        <f>'Stack-Planer'!P326</f>
        <v/>
      </c>
      <c r="J106" s="295">
        <f>((Parameter!$B$36/100)/MAX(Parameter!$B$37,1-I106))^Parameter!$B$38</f>
        <v/>
      </c>
      <c r="K106" s="297">
        <f>B106/100*G106^Parameter!$B$40</f>
        <v/>
      </c>
      <c r="L106" s="297">
        <f>B106/100*J106^Parameter!$B$40</f>
        <v/>
      </c>
    </row>
    <row r="107" ht="13" customHeight="1">
      <c r="A107" s="293" t="inlineStr">
        <is>
          <t>Herzrhythmus</t>
        </is>
      </c>
      <c r="B107" s="294" t="n">
        <v>4.16666667</v>
      </c>
      <c r="C107" s="295">
        <f>'Stack-Planer'!Q95</f>
        <v/>
      </c>
      <c r="D107" s="295">
        <f>'Stack-Planer'!Q209</f>
        <v/>
      </c>
      <c r="E107" s="295">
        <f>'Stack-Planer'!Q174</f>
        <v/>
      </c>
      <c r="F107" s="295">
        <f>'Stack-Planer'!Q325</f>
        <v/>
      </c>
      <c r="G107" s="295">
        <f>((Parameter!$B$36/100)/MAX(Parameter!$B$37,1-F107))^Parameter!$B$38</f>
        <v/>
      </c>
      <c r="H107" s="296">
        <f>B107*G107/SUMPRODUCT($B$97:$B$112,$G$97:$G$112)</f>
        <v/>
      </c>
      <c r="I107" s="295">
        <f>'Stack-Planer'!Q326</f>
        <v/>
      </c>
      <c r="J107" s="295">
        <f>((Parameter!$B$36/100)/MAX(Parameter!$B$37,1-I107))^Parameter!$B$38</f>
        <v/>
      </c>
      <c r="K107" s="297">
        <f>B107/100*G107^Parameter!$B$40</f>
        <v/>
      </c>
      <c r="L107" s="297">
        <f>B107/100*J107^Parameter!$B$40</f>
        <v/>
      </c>
    </row>
    <row r="108" ht="13" customHeight="1">
      <c r="A108" s="293" t="inlineStr">
        <is>
          <t>Nierenfunktion</t>
        </is>
      </c>
      <c r="B108" s="294" t="n">
        <v>4.16666667</v>
      </c>
      <c r="C108" s="295">
        <f>'Stack-Planer'!R95</f>
        <v/>
      </c>
      <c r="D108" s="295">
        <f>'Stack-Planer'!R209</f>
        <v/>
      </c>
      <c r="E108" s="295">
        <f>'Stack-Planer'!R174</f>
        <v/>
      </c>
      <c r="F108" s="295">
        <f>'Stack-Planer'!R325</f>
        <v/>
      </c>
      <c r="G108" s="295">
        <f>((Parameter!$B$36/100)/MAX(Parameter!$B$37,1-F108))^Parameter!$B$38</f>
        <v/>
      </c>
      <c r="H108" s="296">
        <f>B108*G108/SUMPRODUCT($B$97:$B$112,$G$97:$G$112)</f>
        <v/>
      </c>
      <c r="I108" s="295">
        <f>'Stack-Planer'!R326</f>
        <v/>
      </c>
      <c r="J108" s="295">
        <f>((Parameter!$B$36/100)/MAX(Parameter!$B$37,1-I108))^Parameter!$B$38</f>
        <v/>
      </c>
      <c r="K108" s="297">
        <f>B108/100*G108^Parameter!$B$40</f>
        <v/>
      </c>
      <c r="L108" s="297">
        <f>B108/100*J108^Parameter!$B$40</f>
        <v/>
      </c>
    </row>
    <row r="109" ht="13" customHeight="1">
      <c r="A109" s="293" t="inlineStr">
        <is>
          <t>Leber allgemein</t>
        </is>
      </c>
      <c r="B109" s="294" t="n">
        <v>4.16666667</v>
      </c>
      <c r="C109" s="295">
        <f>'Stack-Planer'!S95</f>
        <v/>
      </c>
      <c r="D109" s="295">
        <f>'Stack-Planer'!S209</f>
        <v/>
      </c>
      <c r="E109" s="295">
        <f>'Stack-Planer'!S174</f>
        <v/>
      </c>
      <c r="F109" s="295">
        <f>'Stack-Planer'!S325</f>
        <v/>
      </c>
      <c r="G109" s="295">
        <f>((Parameter!$B$36/100)/MAX(Parameter!$B$37,1-F109))^Parameter!$B$38</f>
        <v/>
      </c>
      <c r="H109" s="296">
        <f>B109*G109/SUMPRODUCT($B$97:$B$112,$G$97:$G$112)</f>
        <v/>
      </c>
      <c r="I109" s="295">
        <f>'Stack-Planer'!S326</f>
        <v/>
      </c>
      <c r="J109" s="295">
        <f>((Parameter!$B$36/100)/MAX(Parameter!$B$37,1-I109))^Parameter!$B$38</f>
        <v/>
      </c>
      <c r="K109" s="297">
        <f>B109/100*G109^Parameter!$B$40</f>
        <v/>
      </c>
      <c r="L109" s="297">
        <f>B109/100*J109^Parameter!$B$40</f>
        <v/>
      </c>
    </row>
    <row r="110" ht="13" customHeight="1">
      <c r="A110" s="293" t="inlineStr">
        <is>
          <t>Glukosestoffwechsel</t>
        </is>
      </c>
      <c r="B110" s="294" t="n">
        <v>4.16666667</v>
      </c>
      <c r="C110" s="295">
        <f>'Stack-Planer'!T95</f>
        <v/>
      </c>
      <c r="D110" s="295">
        <f>'Stack-Planer'!T209</f>
        <v/>
      </c>
      <c r="E110" s="295">
        <f>'Stack-Planer'!T174</f>
        <v/>
      </c>
      <c r="F110" s="295">
        <f>'Stack-Planer'!T325</f>
        <v/>
      </c>
      <c r="G110" s="295">
        <f>((Parameter!$B$36/100)/MAX(Parameter!$B$37,1-F110))^Parameter!$B$38</f>
        <v/>
      </c>
      <c r="H110" s="296">
        <f>B110*G110/SUMPRODUCT($B$97:$B$112,$G$97:$G$112)</f>
        <v/>
      </c>
      <c r="I110" s="295">
        <f>'Stack-Planer'!T326</f>
        <v/>
      </c>
      <c r="J110" s="295">
        <f>((Parameter!$B$36/100)/MAX(Parameter!$B$37,1-I110))^Parameter!$B$38</f>
        <v/>
      </c>
      <c r="K110" s="297">
        <f>B110/100*G110^Parameter!$B$40</f>
        <v/>
      </c>
      <c r="L110" s="297">
        <f>B110/100*J110^Parameter!$B$40</f>
        <v/>
      </c>
    </row>
    <row r="111" ht="13" customHeight="1">
      <c r="A111" s="293" t="inlineStr">
        <is>
          <t>Blutfette-Lp(a)</t>
        </is>
      </c>
      <c r="B111" s="294" t="n">
        <v>2.08333333</v>
      </c>
      <c r="C111" s="295">
        <f>'Stack-Planer'!U95</f>
        <v/>
      </c>
      <c r="D111" s="295">
        <f>'Stack-Planer'!U209</f>
        <v/>
      </c>
      <c r="E111" s="295">
        <f>'Stack-Planer'!U174</f>
        <v/>
      </c>
      <c r="F111" s="295">
        <f>'Stack-Planer'!U325</f>
        <v/>
      </c>
      <c r="G111" s="295">
        <f>((Parameter!$B$36/100)/MAX(Parameter!$B$37,1-F111))^Parameter!$B$38</f>
        <v/>
      </c>
      <c r="H111" s="296">
        <f>B111*G111/SUMPRODUCT($B$97:$B$112,$G$97:$G$112)</f>
        <v/>
      </c>
      <c r="I111" s="295">
        <f>'Stack-Planer'!U326</f>
        <v/>
      </c>
      <c r="J111" s="295">
        <f>((Parameter!$B$36/100)/MAX(Parameter!$B$37,1-I111))^Parameter!$B$38</f>
        <v/>
      </c>
      <c r="K111" s="297">
        <f>B111/100*G111^Parameter!$B$40</f>
        <v/>
      </c>
      <c r="L111" s="297">
        <f>B111/100*J111^Parameter!$B$40</f>
        <v/>
      </c>
    </row>
    <row r="112" ht="13" customHeight="1">
      <c r="A112" s="293" t="inlineStr">
        <is>
          <t>Aromatase/E2</t>
        </is>
      </c>
      <c r="B112" s="294" t="n">
        <v>2.08333333</v>
      </c>
      <c r="C112" s="295">
        <f>'Stack-Planer'!V95</f>
        <v/>
      </c>
      <c r="D112" s="295">
        <f>'Stack-Planer'!V209</f>
        <v/>
      </c>
      <c r="E112" s="295">
        <f>'Stack-Planer'!V174</f>
        <v/>
      </c>
      <c r="F112" s="295">
        <f>'Stack-Planer'!V325</f>
        <v/>
      </c>
      <c r="G112" s="295">
        <f>((Parameter!$B$36/100)/MAX(Parameter!$B$37,1-F112))^Parameter!$B$38</f>
        <v/>
      </c>
      <c r="H112" s="296">
        <f>B112*G112/SUMPRODUCT($B$97:$B$112,$G$97:$G$112)</f>
        <v/>
      </c>
      <c r="I112" s="295">
        <f>'Stack-Planer'!V326</f>
        <v/>
      </c>
      <c r="J112" s="295">
        <f>((Parameter!$B$36/100)/MAX(Parameter!$B$37,1-I112))^Parameter!$B$38</f>
        <v/>
      </c>
      <c r="K112" s="297">
        <f>B112/100*G112^Parameter!$B$40</f>
        <v/>
      </c>
      <c r="L112" s="297">
        <f>B112/100*J112^Parameter!$B$40</f>
        <v/>
      </c>
    </row>
    <row r="113">
      <c r="A113" s="298" t="inlineStr">
        <is>
          <t>zusammengefasst</t>
        </is>
      </c>
      <c r="B113" s="299">
        <f>SUM(B97:B112)</f>
        <v/>
      </c>
      <c r="C113" s="298" t="n"/>
      <c r="D113" s="298" t="n"/>
      <c r="E113" s="298" t="n"/>
      <c r="F113" s="298" t="n"/>
      <c r="G113" s="300">
        <f>SUM(K$97:K$112)^(1/Parameter!$B$40)</f>
        <v/>
      </c>
      <c r="H113" s="301">
        <f>SUM(H97:H112)</f>
        <v/>
      </c>
      <c r="I113" s="298" t="n"/>
      <c r="J113" s="300">
        <f>SUM(L$97:L$112)^(1/Parameter!$B$40)</f>
        <v/>
      </c>
    </row>
    <row r="114"/>
    <row r="115"/>
    <row r="116"/>
    <row r="117">
      <c r="A117" s="273" t="inlineStr">
        <is>
          <t>Lebensuhr - wie das Schadensbudget verbraucht wird</t>
        </is>
      </c>
    </row>
    <row r="118" ht="58" customHeight="1">
      <c r="A118" s="275" t="inlineStr">
        <is>
          <t>Jedes Lebensjahr kostet etwas, und mit dem Alter kostet es mehr. Ein Leben hat ein festes Budget an solchen Einheiten (diesem Blatt); mit den Defaults reicht es ohne Last genau von 18 bis 88. Unter Last laeuft die Uhr schneller: der Schadensmultiplikator kommt aus dem Score des Stack-Planers, also aus Dosis, Oralen, Compounds, Blutwerten und Medikation zusammen. Deshalb koennen Score und Endalter nicht auseinanderlaufen - es ist dieselbe Zahl, nur anders dargestellt. Nichts hier eintragen; alles rechnet sich aus dem Stack-Planer.</t>
        </is>
      </c>
    </row>
    <row r="119"/>
    <row r="120">
      <c r="A120" s="288" t="inlineStr">
        <is>
          <t>Jahresfaktor im heutigen Alter</t>
        </is>
      </c>
      <c r="D120" s="289">
        <f>(1+Parameter!$B$29*('Stack-Planer'!$C$9-Parameter!$B$28))*Parameter!$B$30^('Stack-Planer'!$C$9-Parameter!$B$28)</f>
        <v/>
      </c>
      <c r="E120" s="290" t="inlineStr">
        <is>
          <t>So viel kostet ein Jahr in diesem Alter, ohne jede Last.</t>
        </is>
      </c>
    </row>
    <row r="121">
      <c r="A121" s="288" t="inlineStr">
        <is>
          <t>Score real (aus dem Stack-Planer)</t>
        </is>
      </c>
      <c r="D121" s="291">
        <f>Parameter!$D$91</f>
        <v/>
      </c>
      <c r="E121" s="290" t="inlineStr">
        <is>
          <t>Blutwerte, Dosis, Orale, laufende Medikation.</t>
        </is>
      </c>
    </row>
    <row r="122">
      <c r="A122" s="288" t="inlineStr">
        <is>
          <t>Score nach den geplanten Massnahmen</t>
        </is>
      </c>
      <c r="D122" s="291">
        <f>Parameter!$D$92</f>
        <v/>
      </c>
      <c r="E122" s="290" t="inlineStr">
        <is>
          <t>Derselbe Score, wenn alles Geplante wirkt.</t>
        </is>
      </c>
    </row>
    <row r="123">
      <c r="A123" s="288" t="inlineStr">
        <is>
          <t>Schadensmultiplikator real</t>
        </is>
      </c>
      <c r="D123" s="289">
        <f>Parameter!$D$89</f>
        <v/>
      </c>
      <c r="E123" s="290" t="inlineStr">
        <is>
          <t>Kommt vom Block Systeme weiter unten: gewichtetes Mittel der fuenfzehn Einzelgefahren.</t>
        </is>
      </c>
    </row>
    <row r="124">
      <c r="A124" s="288" t="inlineStr">
        <is>
          <t>Schadensmultiplikator nach Massnahmen</t>
        </is>
      </c>
      <c r="D124" s="289">
        <f>Parameter!$D$90</f>
        <v/>
      </c>
      <c r="E124" s="290" t="inlineStr"/>
    </row>
    <row r="125">
      <c r="A125" s="288" t="inlineStr">
        <is>
          <t>Schadensbudget eines Lebens</t>
        </is>
      </c>
      <c r="D125" s="302">
        <f>Parameter!$B$32</f>
        <v/>
      </c>
      <c r="E125" s="290" t="inlineStr">
        <is>
          <t>Feste Groesse aus dem Parameterblatt, nicht aus der Kurve gerechnet.</t>
        </is>
      </c>
    </row>
    <row r="126">
      <c r="A126" s="230" t="inlineStr">
        <is>
          <t>Endalter real</t>
        </is>
      </c>
      <c r="D126" s="303">
        <f>IFERROR(INDEX($A$132:$A$244,MIN(MATCH($D$125,$E$132:$E$244,1),112))+1+($D$125-INDEX($E$132:$E$244,MIN(MATCH($D$125,$E$132:$E$244,1),112)))/INDEX($D$132:$D$244,MIN(MATCH($D$125,$E$132:$E$244,1),112)+1),Parameter!$B$31)</f>
        <v/>
      </c>
      <c r="E126" s="290" t="inlineStr">
        <is>
          <t>Hier ist das Budget aufgebraucht.</t>
        </is>
      </c>
    </row>
    <row r="127">
      <c r="A127" s="230" t="inlineStr">
        <is>
          <t>Endalter nach den Massnahmen</t>
        </is>
      </c>
      <c r="D127" s="304">
        <f>IFERROR(INDEX($A$132:$A$244,MIN(MATCH($D$125,$H$132:$H$244,1),112))+1+($D$125-INDEX($H$132:$H$244,MIN(MATCH($D$125,$H$132:$H$244,1),112)))/INDEX($G$132:$G$244,MIN(MATCH($D$125,$H$132:$H$244,1),112)+1),Parameter!$B$31)</f>
        <v/>
      </c>
      <c r="E127" s="290" t="inlineStr">
        <is>
          <t>Wenn alles Geplante wirkt.</t>
        </is>
      </c>
    </row>
    <row r="128"/>
    <row r="129"/>
    <row r="130"/>
    <row r="131" ht="26" customHeight="1">
      <c r="A131" s="76" t="inlineStr">
        <is>
          <t>Alter</t>
        </is>
      </c>
      <c r="B131" s="76" t="inlineStr">
        <is>
          <t>Jahresfaktor</t>
        </is>
      </c>
      <c r="C131" s="76" t="inlineStr">
        <is>
          <t>Tempo real</t>
        </is>
      </c>
      <c r="D131" s="76" t="inlineStr">
        <is>
          <t>Verbrauch real</t>
        </is>
      </c>
      <c r="E131" s="76" t="inlineStr">
        <is>
          <t>kumuliert real</t>
        </is>
      </c>
      <c r="F131" s="76" t="inlineStr">
        <is>
          <t>Tempo nach</t>
        </is>
      </c>
      <c r="G131" s="76" t="inlineStr">
        <is>
          <t>Verbrauch nach</t>
        </is>
      </c>
      <c r="H131" s="76" t="inlineStr">
        <is>
          <t>kumuliert nach</t>
        </is>
      </c>
    </row>
    <row r="132" ht="12" customHeight="1">
      <c r="A132" s="305">
        <f>Parameter!$B$31</f>
        <v/>
      </c>
      <c r="B132" s="295">
        <f>(1+Parameter!$B$29*(A132-Parameter!$B$28))*Parameter!$B$30^(A132-Parameter!$B$28)</f>
        <v/>
      </c>
      <c r="C132" s="295">
        <f>IF(AND(A132&gt;='Stack-Planer'!$C$9,A132&lt;'Stack-Planer'!$C$9+'Stack-Planer'!$G$87),$D$123,1)</f>
        <v/>
      </c>
      <c r="D132" s="295">
        <f>B132*C132</f>
        <v/>
      </c>
      <c r="E132" s="295">
        <f>D132</f>
        <v/>
      </c>
      <c r="F132" s="295">
        <f>IF(AND(A132&gt;='Stack-Planer'!$C$9,A132&lt;'Stack-Planer'!$C$9+'Stack-Planer'!$G$87),$D$124,1)</f>
        <v/>
      </c>
      <c r="G132" s="295">
        <f>B132*F132</f>
        <v/>
      </c>
      <c r="H132" s="295">
        <f>G132</f>
        <v/>
      </c>
    </row>
    <row r="133" ht="12" customHeight="1">
      <c r="A133" s="305">
        <f>A132+1</f>
        <v/>
      </c>
      <c r="B133" s="295">
        <f>(1+Parameter!$B$29*(A133-Parameter!$B$28))*Parameter!$B$30^(A133-Parameter!$B$28)</f>
        <v/>
      </c>
      <c r="C133" s="295">
        <f>IF(AND(A133&gt;='Stack-Planer'!$C$9,A133&lt;'Stack-Planer'!$C$9+'Stack-Planer'!$G$87),$D$123,1)</f>
        <v/>
      </c>
      <c r="D133" s="295">
        <f>B133*C133</f>
        <v/>
      </c>
      <c r="E133" s="295">
        <f>E132+D133</f>
        <v/>
      </c>
      <c r="F133" s="295">
        <f>IF(AND(A133&gt;='Stack-Planer'!$C$9,A133&lt;'Stack-Planer'!$C$9+'Stack-Planer'!$G$87),$D$124,1)</f>
        <v/>
      </c>
      <c r="G133" s="295">
        <f>B133*F133</f>
        <v/>
      </c>
      <c r="H133" s="295">
        <f>H132+G133</f>
        <v/>
      </c>
    </row>
    <row r="134" ht="12" customHeight="1">
      <c r="A134" s="305">
        <f>A133+1</f>
        <v/>
      </c>
      <c r="B134" s="295">
        <f>(1+Parameter!$B$29*(A134-Parameter!$B$28))*Parameter!$B$30^(A134-Parameter!$B$28)</f>
        <v/>
      </c>
      <c r="C134" s="295">
        <f>IF(AND(A134&gt;='Stack-Planer'!$C$9,A134&lt;'Stack-Planer'!$C$9+'Stack-Planer'!$G$87),$D$123,1)</f>
        <v/>
      </c>
      <c r="D134" s="295">
        <f>B134*C134</f>
        <v/>
      </c>
      <c r="E134" s="295">
        <f>E133+D134</f>
        <v/>
      </c>
      <c r="F134" s="295">
        <f>IF(AND(A134&gt;='Stack-Planer'!$C$9,A134&lt;'Stack-Planer'!$C$9+'Stack-Planer'!$G$87),$D$124,1)</f>
        <v/>
      </c>
      <c r="G134" s="295">
        <f>B134*F134</f>
        <v/>
      </c>
      <c r="H134" s="295">
        <f>H133+G134</f>
        <v/>
      </c>
    </row>
    <row r="135" ht="12" customHeight="1">
      <c r="A135" s="305">
        <f>A134+1</f>
        <v/>
      </c>
      <c r="B135" s="295">
        <f>(1+Parameter!$B$29*(A135-Parameter!$B$28))*Parameter!$B$30^(A135-Parameter!$B$28)</f>
        <v/>
      </c>
      <c r="C135" s="295">
        <f>IF(AND(A135&gt;='Stack-Planer'!$C$9,A135&lt;'Stack-Planer'!$C$9+'Stack-Planer'!$G$87),$D$123,1)</f>
        <v/>
      </c>
      <c r="D135" s="295">
        <f>B135*C135</f>
        <v/>
      </c>
      <c r="E135" s="295">
        <f>E134+D135</f>
        <v/>
      </c>
      <c r="F135" s="295">
        <f>IF(AND(A135&gt;='Stack-Planer'!$C$9,A135&lt;'Stack-Planer'!$C$9+'Stack-Planer'!$G$87),$D$124,1)</f>
        <v/>
      </c>
      <c r="G135" s="295">
        <f>B135*F135</f>
        <v/>
      </c>
      <c r="H135" s="295">
        <f>H134+G135</f>
        <v/>
      </c>
    </row>
    <row r="136" ht="12" customHeight="1">
      <c r="A136" s="305">
        <f>A135+1</f>
        <v/>
      </c>
      <c r="B136" s="295">
        <f>(1+Parameter!$B$29*(A136-Parameter!$B$28))*Parameter!$B$30^(A136-Parameter!$B$28)</f>
        <v/>
      </c>
      <c r="C136" s="295">
        <f>IF(AND(A136&gt;='Stack-Planer'!$C$9,A136&lt;'Stack-Planer'!$C$9+'Stack-Planer'!$G$87),$D$123,1)</f>
        <v/>
      </c>
      <c r="D136" s="295">
        <f>B136*C136</f>
        <v/>
      </c>
      <c r="E136" s="295">
        <f>E135+D136</f>
        <v/>
      </c>
      <c r="F136" s="295">
        <f>IF(AND(A136&gt;='Stack-Planer'!$C$9,A136&lt;'Stack-Planer'!$C$9+'Stack-Planer'!$G$87),$D$124,1)</f>
        <v/>
      </c>
      <c r="G136" s="295">
        <f>B136*F136</f>
        <v/>
      </c>
      <c r="H136" s="295">
        <f>H135+G136</f>
        <v/>
      </c>
    </row>
    <row r="137" ht="12" customHeight="1">
      <c r="A137" s="305">
        <f>A136+1</f>
        <v/>
      </c>
      <c r="B137" s="295">
        <f>(1+Parameter!$B$29*(A137-Parameter!$B$28))*Parameter!$B$30^(A137-Parameter!$B$28)</f>
        <v/>
      </c>
      <c r="C137" s="295">
        <f>IF(AND(A137&gt;='Stack-Planer'!$C$9,A137&lt;'Stack-Planer'!$C$9+'Stack-Planer'!$G$87),$D$123,1)</f>
        <v/>
      </c>
      <c r="D137" s="295">
        <f>B137*C137</f>
        <v/>
      </c>
      <c r="E137" s="295">
        <f>E136+D137</f>
        <v/>
      </c>
      <c r="F137" s="295">
        <f>IF(AND(A137&gt;='Stack-Planer'!$C$9,A137&lt;'Stack-Planer'!$C$9+'Stack-Planer'!$G$87),$D$124,1)</f>
        <v/>
      </c>
      <c r="G137" s="295">
        <f>B137*F137</f>
        <v/>
      </c>
      <c r="H137" s="295">
        <f>H136+G137</f>
        <v/>
      </c>
    </row>
    <row r="138" ht="12" customHeight="1">
      <c r="A138" s="305">
        <f>A137+1</f>
        <v/>
      </c>
      <c r="B138" s="295">
        <f>(1+Parameter!$B$29*(A138-Parameter!$B$28))*Parameter!$B$30^(A138-Parameter!$B$28)</f>
        <v/>
      </c>
      <c r="C138" s="295">
        <f>IF(AND(A138&gt;='Stack-Planer'!$C$9,A138&lt;'Stack-Planer'!$C$9+'Stack-Planer'!$G$87),$D$123,1)</f>
        <v/>
      </c>
      <c r="D138" s="295">
        <f>B138*C138</f>
        <v/>
      </c>
      <c r="E138" s="295">
        <f>E137+D138</f>
        <v/>
      </c>
      <c r="F138" s="295">
        <f>IF(AND(A138&gt;='Stack-Planer'!$C$9,A138&lt;'Stack-Planer'!$C$9+'Stack-Planer'!$G$87),$D$124,1)</f>
        <v/>
      </c>
      <c r="G138" s="295">
        <f>B138*F138</f>
        <v/>
      </c>
      <c r="H138" s="295">
        <f>H137+G138</f>
        <v/>
      </c>
    </row>
    <row r="139" ht="12" customHeight="1">
      <c r="A139" s="305">
        <f>A138+1</f>
        <v/>
      </c>
      <c r="B139" s="295">
        <f>(1+Parameter!$B$29*(A139-Parameter!$B$28))*Parameter!$B$30^(A139-Parameter!$B$28)</f>
        <v/>
      </c>
      <c r="C139" s="295">
        <f>IF(AND(A139&gt;='Stack-Planer'!$C$9,A139&lt;'Stack-Planer'!$C$9+'Stack-Planer'!$G$87),$D$123,1)</f>
        <v/>
      </c>
      <c r="D139" s="295">
        <f>B139*C139</f>
        <v/>
      </c>
      <c r="E139" s="295">
        <f>E138+D139</f>
        <v/>
      </c>
      <c r="F139" s="295">
        <f>IF(AND(A139&gt;='Stack-Planer'!$C$9,A139&lt;'Stack-Planer'!$C$9+'Stack-Planer'!$G$87),$D$124,1)</f>
        <v/>
      </c>
      <c r="G139" s="295">
        <f>B139*F139</f>
        <v/>
      </c>
      <c r="H139" s="295">
        <f>H138+G139</f>
        <v/>
      </c>
    </row>
    <row r="140" ht="12" customHeight="1">
      <c r="A140" s="305">
        <f>A139+1</f>
        <v/>
      </c>
      <c r="B140" s="295">
        <f>(1+Parameter!$B$29*(A140-Parameter!$B$28))*Parameter!$B$30^(A140-Parameter!$B$28)</f>
        <v/>
      </c>
      <c r="C140" s="295">
        <f>IF(AND(A140&gt;='Stack-Planer'!$C$9,A140&lt;'Stack-Planer'!$C$9+'Stack-Planer'!$G$87),$D$123,1)</f>
        <v/>
      </c>
      <c r="D140" s="295">
        <f>B140*C140</f>
        <v/>
      </c>
      <c r="E140" s="295">
        <f>E139+D140</f>
        <v/>
      </c>
      <c r="F140" s="295">
        <f>IF(AND(A140&gt;='Stack-Planer'!$C$9,A140&lt;'Stack-Planer'!$C$9+'Stack-Planer'!$G$87),$D$124,1)</f>
        <v/>
      </c>
      <c r="G140" s="295">
        <f>B140*F140</f>
        <v/>
      </c>
      <c r="H140" s="295">
        <f>H139+G140</f>
        <v/>
      </c>
    </row>
    <row r="141" ht="12" customHeight="1">
      <c r="A141" s="305">
        <f>A140+1</f>
        <v/>
      </c>
      <c r="B141" s="295">
        <f>(1+Parameter!$B$29*(A141-Parameter!$B$28))*Parameter!$B$30^(A141-Parameter!$B$28)</f>
        <v/>
      </c>
      <c r="C141" s="295">
        <f>IF(AND(A141&gt;='Stack-Planer'!$C$9,A141&lt;'Stack-Planer'!$C$9+'Stack-Planer'!$G$87),$D$123,1)</f>
        <v/>
      </c>
      <c r="D141" s="295">
        <f>B141*C141</f>
        <v/>
      </c>
      <c r="E141" s="295">
        <f>E140+D141</f>
        <v/>
      </c>
      <c r="F141" s="295">
        <f>IF(AND(A141&gt;='Stack-Planer'!$C$9,A141&lt;'Stack-Planer'!$C$9+'Stack-Planer'!$G$87),$D$124,1)</f>
        <v/>
      </c>
      <c r="G141" s="295">
        <f>B141*F141</f>
        <v/>
      </c>
      <c r="H141" s="295">
        <f>H140+G141</f>
        <v/>
      </c>
    </row>
    <row r="142" ht="12" customHeight="1">
      <c r="A142" s="305">
        <f>A141+1</f>
        <v/>
      </c>
      <c r="B142" s="295">
        <f>(1+Parameter!$B$29*(A142-Parameter!$B$28))*Parameter!$B$30^(A142-Parameter!$B$28)</f>
        <v/>
      </c>
      <c r="C142" s="295">
        <f>IF(AND(A142&gt;='Stack-Planer'!$C$9,A142&lt;'Stack-Planer'!$C$9+'Stack-Planer'!$G$87),$D$123,1)</f>
        <v/>
      </c>
      <c r="D142" s="295">
        <f>B142*C142</f>
        <v/>
      </c>
      <c r="E142" s="295">
        <f>E141+D142</f>
        <v/>
      </c>
      <c r="F142" s="295">
        <f>IF(AND(A142&gt;='Stack-Planer'!$C$9,A142&lt;'Stack-Planer'!$C$9+'Stack-Planer'!$G$87),$D$124,1)</f>
        <v/>
      </c>
      <c r="G142" s="295">
        <f>B142*F142</f>
        <v/>
      </c>
      <c r="H142" s="295">
        <f>H141+G142</f>
        <v/>
      </c>
    </row>
    <row r="143" ht="12" customHeight="1">
      <c r="A143" s="305">
        <f>A142+1</f>
        <v/>
      </c>
      <c r="B143" s="295">
        <f>(1+Parameter!$B$29*(A143-Parameter!$B$28))*Parameter!$B$30^(A143-Parameter!$B$28)</f>
        <v/>
      </c>
      <c r="C143" s="295">
        <f>IF(AND(A143&gt;='Stack-Planer'!$C$9,A143&lt;'Stack-Planer'!$C$9+'Stack-Planer'!$G$87),$D$123,1)</f>
        <v/>
      </c>
      <c r="D143" s="295">
        <f>B143*C143</f>
        <v/>
      </c>
      <c r="E143" s="295">
        <f>E142+D143</f>
        <v/>
      </c>
      <c r="F143" s="295">
        <f>IF(AND(A143&gt;='Stack-Planer'!$C$9,A143&lt;'Stack-Planer'!$C$9+'Stack-Planer'!$G$87),$D$124,1)</f>
        <v/>
      </c>
      <c r="G143" s="295">
        <f>B143*F143</f>
        <v/>
      </c>
      <c r="H143" s="295">
        <f>H142+G143</f>
        <v/>
      </c>
    </row>
    <row r="144" ht="12" customHeight="1">
      <c r="A144" s="305">
        <f>A143+1</f>
        <v/>
      </c>
      <c r="B144" s="295">
        <f>(1+Parameter!$B$29*(A144-Parameter!$B$28))*Parameter!$B$30^(A144-Parameter!$B$28)</f>
        <v/>
      </c>
      <c r="C144" s="295">
        <f>IF(AND(A144&gt;='Stack-Planer'!$C$9,A144&lt;'Stack-Planer'!$C$9+'Stack-Planer'!$G$87),$D$123,1)</f>
        <v/>
      </c>
      <c r="D144" s="295">
        <f>B144*C144</f>
        <v/>
      </c>
      <c r="E144" s="295">
        <f>E143+D144</f>
        <v/>
      </c>
      <c r="F144" s="295">
        <f>IF(AND(A144&gt;='Stack-Planer'!$C$9,A144&lt;'Stack-Planer'!$C$9+'Stack-Planer'!$G$87),$D$124,1)</f>
        <v/>
      </c>
      <c r="G144" s="295">
        <f>B144*F144</f>
        <v/>
      </c>
      <c r="H144" s="295">
        <f>H143+G144</f>
        <v/>
      </c>
    </row>
    <row r="145" ht="12" customHeight="1">
      <c r="A145" s="305">
        <f>A144+1</f>
        <v/>
      </c>
      <c r="B145" s="295">
        <f>(1+Parameter!$B$29*(A145-Parameter!$B$28))*Parameter!$B$30^(A145-Parameter!$B$28)</f>
        <v/>
      </c>
      <c r="C145" s="295">
        <f>IF(AND(A145&gt;='Stack-Planer'!$C$9,A145&lt;'Stack-Planer'!$C$9+'Stack-Planer'!$G$87),$D$123,1)</f>
        <v/>
      </c>
      <c r="D145" s="295">
        <f>B145*C145</f>
        <v/>
      </c>
      <c r="E145" s="295">
        <f>E144+D145</f>
        <v/>
      </c>
      <c r="F145" s="295">
        <f>IF(AND(A145&gt;='Stack-Planer'!$C$9,A145&lt;'Stack-Planer'!$C$9+'Stack-Planer'!$G$87),$D$124,1)</f>
        <v/>
      </c>
      <c r="G145" s="295">
        <f>B145*F145</f>
        <v/>
      </c>
      <c r="H145" s="295">
        <f>H144+G145</f>
        <v/>
      </c>
    </row>
    <row r="146" ht="12" customHeight="1">
      <c r="A146" s="305">
        <f>A145+1</f>
        <v/>
      </c>
      <c r="B146" s="295">
        <f>(1+Parameter!$B$29*(A146-Parameter!$B$28))*Parameter!$B$30^(A146-Parameter!$B$28)</f>
        <v/>
      </c>
      <c r="C146" s="295">
        <f>IF(AND(A146&gt;='Stack-Planer'!$C$9,A146&lt;'Stack-Planer'!$C$9+'Stack-Planer'!$G$87),$D$123,1)</f>
        <v/>
      </c>
      <c r="D146" s="295">
        <f>B146*C146</f>
        <v/>
      </c>
      <c r="E146" s="295">
        <f>E145+D146</f>
        <v/>
      </c>
      <c r="F146" s="295">
        <f>IF(AND(A146&gt;='Stack-Planer'!$C$9,A146&lt;'Stack-Planer'!$C$9+'Stack-Planer'!$G$87),$D$124,1)</f>
        <v/>
      </c>
      <c r="G146" s="295">
        <f>B146*F146</f>
        <v/>
      </c>
      <c r="H146" s="295">
        <f>H145+G146</f>
        <v/>
      </c>
    </row>
    <row r="147" ht="12" customHeight="1">
      <c r="A147" s="305">
        <f>A146+1</f>
        <v/>
      </c>
      <c r="B147" s="295">
        <f>(1+Parameter!$B$29*(A147-Parameter!$B$28))*Parameter!$B$30^(A147-Parameter!$B$28)</f>
        <v/>
      </c>
      <c r="C147" s="295">
        <f>IF(AND(A147&gt;='Stack-Planer'!$C$9,A147&lt;'Stack-Planer'!$C$9+'Stack-Planer'!$G$87),$D$123,1)</f>
        <v/>
      </c>
      <c r="D147" s="295">
        <f>B147*C147</f>
        <v/>
      </c>
      <c r="E147" s="295">
        <f>E146+D147</f>
        <v/>
      </c>
      <c r="F147" s="295">
        <f>IF(AND(A147&gt;='Stack-Planer'!$C$9,A147&lt;'Stack-Planer'!$C$9+'Stack-Planer'!$G$87),$D$124,1)</f>
        <v/>
      </c>
      <c r="G147" s="295">
        <f>B147*F147</f>
        <v/>
      </c>
      <c r="H147" s="295">
        <f>H146+G147</f>
        <v/>
      </c>
    </row>
    <row r="148" ht="12" customHeight="1">
      <c r="A148" s="305">
        <f>A147+1</f>
        <v/>
      </c>
      <c r="B148" s="295">
        <f>(1+Parameter!$B$29*(A148-Parameter!$B$28))*Parameter!$B$30^(A148-Parameter!$B$28)</f>
        <v/>
      </c>
      <c r="C148" s="295">
        <f>IF(AND(A148&gt;='Stack-Planer'!$C$9,A148&lt;'Stack-Planer'!$C$9+'Stack-Planer'!$G$87),$D$123,1)</f>
        <v/>
      </c>
      <c r="D148" s="295">
        <f>B148*C148</f>
        <v/>
      </c>
      <c r="E148" s="295">
        <f>E147+D148</f>
        <v/>
      </c>
      <c r="F148" s="295">
        <f>IF(AND(A148&gt;='Stack-Planer'!$C$9,A148&lt;'Stack-Planer'!$C$9+'Stack-Planer'!$G$87),$D$124,1)</f>
        <v/>
      </c>
      <c r="G148" s="295">
        <f>B148*F148</f>
        <v/>
      </c>
      <c r="H148" s="295">
        <f>H147+G148</f>
        <v/>
      </c>
    </row>
    <row r="149" ht="12" customHeight="1">
      <c r="A149" s="305">
        <f>A148+1</f>
        <v/>
      </c>
      <c r="B149" s="295">
        <f>(1+Parameter!$B$29*(A149-Parameter!$B$28))*Parameter!$B$30^(A149-Parameter!$B$28)</f>
        <v/>
      </c>
      <c r="C149" s="295">
        <f>IF(AND(A149&gt;='Stack-Planer'!$C$9,A149&lt;'Stack-Planer'!$C$9+'Stack-Planer'!$G$87),$D$123,1)</f>
        <v/>
      </c>
      <c r="D149" s="295">
        <f>B149*C149</f>
        <v/>
      </c>
      <c r="E149" s="295">
        <f>E148+D149</f>
        <v/>
      </c>
      <c r="F149" s="295">
        <f>IF(AND(A149&gt;='Stack-Planer'!$C$9,A149&lt;'Stack-Planer'!$C$9+'Stack-Planer'!$G$87),$D$124,1)</f>
        <v/>
      </c>
      <c r="G149" s="295">
        <f>B149*F149</f>
        <v/>
      </c>
      <c r="H149" s="295">
        <f>H148+G149</f>
        <v/>
      </c>
    </row>
    <row r="150" ht="12" customHeight="1">
      <c r="A150" s="305">
        <f>A149+1</f>
        <v/>
      </c>
      <c r="B150" s="295">
        <f>(1+Parameter!$B$29*(A150-Parameter!$B$28))*Parameter!$B$30^(A150-Parameter!$B$28)</f>
        <v/>
      </c>
      <c r="C150" s="295">
        <f>IF(AND(A150&gt;='Stack-Planer'!$C$9,A150&lt;'Stack-Planer'!$C$9+'Stack-Planer'!$G$87),$D$123,1)</f>
        <v/>
      </c>
      <c r="D150" s="295">
        <f>B150*C150</f>
        <v/>
      </c>
      <c r="E150" s="295">
        <f>E149+D150</f>
        <v/>
      </c>
      <c r="F150" s="295">
        <f>IF(AND(A150&gt;='Stack-Planer'!$C$9,A150&lt;'Stack-Planer'!$C$9+'Stack-Planer'!$G$87),$D$124,1)</f>
        <v/>
      </c>
      <c r="G150" s="295">
        <f>B150*F150</f>
        <v/>
      </c>
      <c r="H150" s="295">
        <f>H149+G150</f>
        <v/>
      </c>
    </row>
    <row r="151" ht="12" customHeight="1">
      <c r="A151" s="305">
        <f>A150+1</f>
        <v/>
      </c>
      <c r="B151" s="295">
        <f>(1+Parameter!$B$29*(A151-Parameter!$B$28))*Parameter!$B$30^(A151-Parameter!$B$28)</f>
        <v/>
      </c>
      <c r="C151" s="295">
        <f>IF(AND(A151&gt;='Stack-Planer'!$C$9,A151&lt;'Stack-Planer'!$C$9+'Stack-Planer'!$G$87),$D$123,1)</f>
        <v/>
      </c>
      <c r="D151" s="295">
        <f>B151*C151</f>
        <v/>
      </c>
      <c r="E151" s="295">
        <f>E150+D151</f>
        <v/>
      </c>
      <c r="F151" s="295">
        <f>IF(AND(A151&gt;='Stack-Planer'!$C$9,A151&lt;'Stack-Planer'!$C$9+'Stack-Planer'!$G$87),$D$124,1)</f>
        <v/>
      </c>
      <c r="G151" s="295">
        <f>B151*F151</f>
        <v/>
      </c>
      <c r="H151" s="295">
        <f>H150+G151</f>
        <v/>
      </c>
    </row>
    <row r="152" ht="12" customHeight="1">
      <c r="A152" s="305">
        <f>A151+1</f>
        <v/>
      </c>
      <c r="B152" s="295">
        <f>(1+Parameter!$B$29*(A152-Parameter!$B$28))*Parameter!$B$30^(A152-Parameter!$B$28)</f>
        <v/>
      </c>
      <c r="C152" s="295">
        <f>IF(AND(A152&gt;='Stack-Planer'!$C$9,A152&lt;'Stack-Planer'!$C$9+'Stack-Planer'!$G$87),$D$123,1)</f>
        <v/>
      </c>
      <c r="D152" s="295">
        <f>B152*C152</f>
        <v/>
      </c>
      <c r="E152" s="295">
        <f>E151+D152</f>
        <v/>
      </c>
      <c r="F152" s="295">
        <f>IF(AND(A152&gt;='Stack-Planer'!$C$9,A152&lt;'Stack-Planer'!$C$9+'Stack-Planer'!$G$87),$D$124,1)</f>
        <v/>
      </c>
      <c r="G152" s="295">
        <f>B152*F152</f>
        <v/>
      </c>
      <c r="H152" s="295">
        <f>H151+G152</f>
        <v/>
      </c>
    </row>
    <row r="153" ht="12" customHeight="1">
      <c r="A153" s="305">
        <f>A152+1</f>
        <v/>
      </c>
      <c r="B153" s="295">
        <f>(1+Parameter!$B$29*(A153-Parameter!$B$28))*Parameter!$B$30^(A153-Parameter!$B$28)</f>
        <v/>
      </c>
      <c r="C153" s="295">
        <f>IF(AND(A153&gt;='Stack-Planer'!$C$9,A153&lt;'Stack-Planer'!$C$9+'Stack-Planer'!$G$87),$D$123,1)</f>
        <v/>
      </c>
      <c r="D153" s="295">
        <f>B153*C153</f>
        <v/>
      </c>
      <c r="E153" s="295">
        <f>E152+D153</f>
        <v/>
      </c>
      <c r="F153" s="295">
        <f>IF(AND(A153&gt;='Stack-Planer'!$C$9,A153&lt;'Stack-Planer'!$C$9+'Stack-Planer'!$G$87),$D$124,1)</f>
        <v/>
      </c>
      <c r="G153" s="295">
        <f>B153*F153</f>
        <v/>
      </c>
      <c r="H153" s="295">
        <f>H152+G153</f>
        <v/>
      </c>
    </row>
    <row r="154" ht="12" customHeight="1">
      <c r="A154" s="305">
        <f>A153+1</f>
        <v/>
      </c>
      <c r="B154" s="295">
        <f>(1+Parameter!$B$29*(A154-Parameter!$B$28))*Parameter!$B$30^(A154-Parameter!$B$28)</f>
        <v/>
      </c>
      <c r="C154" s="295">
        <f>IF(AND(A154&gt;='Stack-Planer'!$C$9,A154&lt;'Stack-Planer'!$C$9+'Stack-Planer'!$G$87),$D$123,1)</f>
        <v/>
      </c>
      <c r="D154" s="295">
        <f>B154*C154</f>
        <v/>
      </c>
      <c r="E154" s="295">
        <f>E153+D154</f>
        <v/>
      </c>
      <c r="F154" s="295">
        <f>IF(AND(A154&gt;='Stack-Planer'!$C$9,A154&lt;'Stack-Planer'!$C$9+'Stack-Planer'!$G$87),$D$124,1)</f>
        <v/>
      </c>
      <c r="G154" s="295">
        <f>B154*F154</f>
        <v/>
      </c>
      <c r="H154" s="295">
        <f>H153+G154</f>
        <v/>
      </c>
    </row>
    <row r="155" ht="12" customHeight="1">
      <c r="A155" s="305">
        <f>A154+1</f>
        <v/>
      </c>
      <c r="B155" s="295">
        <f>(1+Parameter!$B$29*(A155-Parameter!$B$28))*Parameter!$B$30^(A155-Parameter!$B$28)</f>
        <v/>
      </c>
      <c r="C155" s="295">
        <f>IF(AND(A155&gt;='Stack-Planer'!$C$9,A155&lt;'Stack-Planer'!$C$9+'Stack-Planer'!$G$87),$D$123,1)</f>
        <v/>
      </c>
      <c r="D155" s="295">
        <f>B155*C155</f>
        <v/>
      </c>
      <c r="E155" s="295">
        <f>E154+D155</f>
        <v/>
      </c>
      <c r="F155" s="295">
        <f>IF(AND(A155&gt;='Stack-Planer'!$C$9,A155&lt;'Stack-Planer'!$C$9+'Stack-Planer'!$G$87),$D$124,1)</f>
        <v/>
      </c>
      <c r="G155" s="295">
        <f>B155*F155</f>
        <v/>
      </c>
      <c r="H155" s="295">
        <f>H154+G155</f>
        <v/>
      </c>
    </row>
    <row r="156" ht="12" customHeight="1">
      <c r="A156" s="305">
        <f>A155+1</f>
        <v/>
      </c>
      <c r="B156" s="295">
        <f>(1+Parameter!$B$29*(A156-Parameter!$B$28))*Parameter!$B$30^(A156-Parameter!$B$28)</f>
        <v/>
      </c>
      <c r="C156" s="295">
        <f>IF(AND(A156&gt;='Stack-Planer'!$C$9,A156&lt;'Stack-Planer'!$C$9+'Stack-Planer'!$G$87),$D$123,1)</f>
        <v/>
      </c>
      <c r="D156" s="295">
        <f>B156*C156</f>
        <v/>
      </c>
      <c r="E156" s="295">
        <f>E155+D156</f>
        <v/>
      </c>
      <c r="F156" s="295">
        <f>IF(AND(A156&gt;='Stack-Planer'!$C$9,A156&lt;'Stack-Planer'!$C$9+'Stack-Planer'!$G$87),$D$124,1)</f>
        <v/>
      </c>
      <c r="G156" s="295">
        <f>B156*F156</f>
        <v/>
      </c>
      <c r="H156" s="295">
        <f>H155+G156</f>
        <v/>
      </c>
    </row>
    <row r="157" ht="12" customHeight="1">
      <c r="A157" s="305">
        <f>A156+1</f>
        <v/>
      </c>
      <c r="B157" s="295">
        <f>(1+Parameter!$B$29*(A157-Parameter!$B$28))*Parameter!$B$30^(A157-Parameter!$B$28)</f>
        <v/>
      </c>
      <c r="C157" s="295">
        <f>IF(AND(A157&gt;='Stack-Planer'!$C$9,A157&lt;'Stack-Planer'!$C$9+'Stack-Planer'!$G$87),$D$123,1)</f>
        <v/>
      </c>
      <c r="D157" s="295">
        <f>B157*C157</f>
        <v/>
      </c>
      <c r="E157" s="295">
        <f>E156+D157</f>
        <v/>
      </c>
      <c r="F157" s="295">
        <f>IF(AND(A157&gt;='Stack-Planer'!$C$9,A157&lt;'Stack-Planer'!$C$9+'Stack-Planer'!$G$87),$D$124,1)</f>
        <v/>
      </c>
      <c r="G157" s="295">
        <f>B157*F157</f>
        <v/>
      </c>
      <c r="H157" s="295">
        <f>H156+G157</f>
        <v/>
      </c>
    </row>
    <row r="158" ht="12" customHeight="1">
      <c r="A158" s="305">
        <f>A157+1</f>
        <v/>
      </c>
      <c r="B158" s="295">
        <f>(1+Parameter!$B$29*(A158-Parameter!$B$28))*Parameter!$B$30^(A158-Parameter!$B$28)</f>
        <v/>
      </c>
      <c r="C158" s="295">
        <f>IF(AND(A158&gt;='Stack-Planer'!$C$9,A158&lt;'Stack-Planer'!$C$9+'Stack-Planer'!$G$87),$D$123,1)</f>
        <v/>
      </c>
      <c r="D158" s="295">
        <f>B158*C158</f>
        <v/>
      </c>
      <c r="E158" s="295">
        <f>E157+D158</f>
        <v/>
      </c>
      <c r="F158" s="295">
        <f>IF(AND(A158&gt;='Stack-Planer'!$C$9,A158&lt;'Stack-Planer'!$C$9+'Stack-Planer'!$G$87),$D$124,1)</f>
        <v/>
      </c>
      <c r="G158" s="295">
        <f>B158*F158</f>
        <v/>
      </c>
      <c r="H158" s="295">
        <f>H157+G158</f>
        <v/>
      </c>
    </row>
    <row r="159" ht="12" customHeight="1">
      <c r="A159" s="305">
        <f>A158+1</f>
        <v/>
      </c>
      <c r="B159" s="295">
        <f>(1+Parameter!$B$29*(A159-Parameter!$B$28))*Parameter!$B$30^(A159-Parameter!$B$28)</f>
        <v/>
      </c>
      <c r="C159" s="295">
        <f>IF(AND(A159&gt;='Stack-Planer'!$C$9,A159&lt;'Stack-Planer'!$C$9+'Stack-Planer'!$G$87),$D$123,1)</f>
        <v/>
      </c>
      <c r="D159" s="295">
        <f>B159*C159</f>
        <v/>
      </c>
      <c r="E159" s="295">
        <f>E158+D159</f>
        <v/>
      </c>
      <c r="F159" s="295">
        <f>IF(AND(A159&gt;='Stack-Planer'!$C$9,A159&lt;'Stack-Planer'!$C$9+'Stack-Planer'!$G$87),$D$124,1)</f>
        <v/>
      </c>
      <c r="G159" s="295">
        <f>B159*F159</f>
        <v/>
      </c>
      <c r="H159" s="295">
        <f>H158+G159</f>
        <v/>
      </c>
    </row>
    <row r="160" ht="12" customHeight="1">
      <c r="A160" s="305">
        <f>A159+1</f>
        <v/>
      </c>
      <c r="B160" s="295">
        <f>(1+Parameter!$B$29*(A160-Parameter!$B$28))*Parameter!$B$30^(A160-Parameter!$B$28)</f>
        <v/>
      </c>
      <c r="C160" s="295">
        <f>IF(AND(A160&gt;='Stack-Planer'!$C$9,A160&lt;'Stack-Planer'!$C$9+'Stack-Planer'!$G$87),$D$123,1)</f>
        <v/>
      </c>
      <c r="D160" s="295">
        <f>B160*C160</f>
        <v/>
      </c>
      <c r="E160" s="295">
        <f>E159+D160</f>
        <v/>
      </c>
      <c r="F160" s="295">
        <f>IF(AND(A160&gt;='Stack-Planer'!$C$9,A160&lt;'Stack-Planer'!$C$9+'Stack-Planer'!$G$87),$D$124,1)</f>
        <v/>
      </c>
      <c r="G160" s="295">
        <f>B160*F160</f>
        <v/>
      </c>
      <c r="H160" s="295">
        <f>H159+G160</f>
        <v/>
      </c>
    </row>
    <row r="161" ht="12" customHeight="1">
      <c r="A161" s="305">
        <f>A160+1</f>
        <v/>
      </c>
      <c r="B161" s="295">
        <f>(1+Parameter!$B$29*(A161-Parameter!$B$28))*Parameter!$B$30^(A161-Parameter!$B$28)</f>
        <v/>
      </c>
      <c r="C161" s="295">
        <f>IF(AND(A161&gt;='Stack-Planer'!$C$9,A161&lt;'Stack-Planer'!$C$9+'Stack-Planer'!$G$87),$D$123,1)</f>
        <v/>
      </c>
      <c r="D161" s="295">
        <f>B161*C161</f>
        <v/>
      </c>
      <c r="E161" s="295">
        <f>E160+D161</f>
        <v/>
      </c>
      <c r="F161" s="295">
        <f>IF(AND(A161&gt;='Stack-Planer'!$C$9,A161&lt;'Stack-Planer'!$C$9+'Stack-Planer'!$G$87),$D$124,1)</f>
        <v/>
      </c>
      <c r="G161" s="295">
        <f>B161*F161</f>
        <v/>
      </c>
      <c r="H161" s="295">
        <f>H160+G161</f>
        <v/>
      </c>
    </row>
    <row r="162" ht="12" customHeight="1">
      <c r="A162" s="305">
        <f>A161+1</f>
        <v/>
      </c>
      <c r="B162" s="295">
        <f>(1+Parameter!$B$29*(A162-Parameter!$B$28))*Parameter!$B$30^(A162-Parameter!$B$28)</f>
        <v/>
      </c>
      <c r="C162" s="295">
        <f>IF(AND(A162&gt;='Stack-Planer'!$C$9,A162&lt;'Stack-Planer'!$C$9+'Stack-Planer'!$G$87),$D$123,1)</f>
        <v/>
      </c>
      <c r="D162" s="295">
        <f>B162*C162</f>
        <v/>
      </c>
      <c r="E162" s="295">
        <f>E161+D162</f>
        <v/>
      </c>
      <c r="F162" s="295">
        <f>IF(AND(A162&gt;='Stack-Planer'!$C$9,A162&lt;'Stack-Planer'!$C$9+'Stack-Planer'!$G$87),$D$124,1)</f>
        <v/>
      </c>
      <c r="G162" s="295">
        <f>B162*F162</f>
        <v/>
      </c>
      <c r="H162" s="295">
        <f>H161+G162</f>
        <v/>
      </c>
    </row>
    <row r="163" ht="12" customHeight="1">
      <c r="A163" s="305">
        <f>A162+1</f>
        <v/>
      </c>
      <c r="B163" s="295">
        <f>(1+Parameter!$B$29*(A163-Parameter!$B$28))*Parameter!$B$30^(A163-Parameter!$B$28)</f>
        <v/>
      </c>
      <c r="C163" s="295">
        <f>IF(AND(A163&gt;='Stack-Planer'!$C$9,A163&lt;'Stack-Planer'!$C$9+'Stack-Planer'!$G$87),$D$123,1)</f>
        <v/>
      </c>
      <c r="D163" s="295">
        <f>B163*C163</f>
        <v/>
      </c>
      <c r="E163" s="295">
        <f>E162+D163</f>
        <v/>
      </c>
      <c r="F163" s="295">
        <f>IF(AND(A163&gt;='Stack-Planer'!$C$9,A163&lt;'Stack-Planer'!$C$9+'Stack-Planer'!$G$87),$D$124,1)</f>
        <v/>
      </c>
      <c r="G163" s="295">
        <f>B163*F163</f>
        <v/>
      </c>
      <c r="H163" s="295">
        <f>H162+G163</f>
        <v/>
      </c>
    </row>
    <row r="164" ht="12" customHeight="1">
      <c r="A164" s="305">
        <f>A163+1</f>
        <v/>
      </c>
      <c r="B164" s="295">
        <f>(1+Parameter!$B$29*(A164-Parameter!$B$28))*Parameter!$B$30^(A164-Parameter!$B$28)</f>
        <v/>
      </c>
      <c r="C164" s="295">
        <f>IF(AND(A164&gt;='Stack-Planer'!$C$9,A164&lt;'Stack-Planer'!$C$9+'Stack-Planer'!$G$87),$D$123,1)</f>
        <v/>
      </c>
      <c r="D164" s="295">
        <f>B164*C164</f>
        <v/>
      </c>
      <c r="E164" s="295">
        <f>E163+D164</f>
        <v/>
      </c>
      <c r="F164" s="295">
        <f>IF(AND(A164&gt;='Stack-Planer'!$C$9,A164&lt;'Stack-Planer'!$C$9+'Stack-Planer'!$G$87),$D$124,1)</f>
        <v/>
      </c>
      <c r="G164" s="295">
        <f>B164*F164</f>
        <v/>
      </c>
      <c r="H164" s="295">
        <f>H163+G164</f>
        <v/>
      </c>
    </row>
    <row r="165" ht="12" customHeight="1">
      <c r="A165" s="305">
        <f>A164+1</f>
        <v/>
      </c>
      <c r="B165" s="295">
        <f>(1+Parameter!$B$29*(A165-Parameter!$B$28))*Parameter!$B$30^(A165-Parameter!$B$28)</f>
        <v/>
      </c>
      <c r="C165" s="295">
        <f>IF(AND(A165&gt;='Stack-Planer'!$C$9,A165&lt;'Stack-Planer'!$C$9+'Stack-Planer'!$G$87),$D$123,1)</f>
        <v/>
      </c>
      <c r="D165" s="295">
        <f>B165*C165</f>
        <v/>
      </c>
      <c r="E165" s="295">
        <f>E164+D165</f>
        <v/>
      </c>
      <c r="F165" s="295">
        <f>IF(AND(A165&gt;='Stack-Planer'!$C$9,A165&lt;'Stack-Planer'!$C$9+'Stack-Planer'!$G$87),$D$124,1)</f>
        <v/>
      </c>
      <c r="G165" s="295">
        <f>B165*F165</f>
        <v/>
      </c>
      <c r="H165" s="295">
        <f>H164+G165</f>
        <v/>
      </c>
    </row>
    <row r="166" ht="12" customHeight="1">
      <c r="A166" s="305">
        <f>A165+1</f>
        <v/>
      </c>
      <c r="B166" s="295">
        <f>(1+Parameter!$B$29*(A166-Parameter!$B$28))*Parameter!$B$30^(A166-Parameter!$B$28)</f>
        <v/>
      </c>
      <c r="C166" s="295">
        <f>IF(AND(A166&gt;='Stack-Planer'!$C$9,A166&lt;'Stack-Planer'!$C$9+'Stack-Planer'!$G$87),$D$123,1)</f>
        <v/>
      </c>
      <c r="D166" s="295">
        <f>B166*C166</f>
        <v/>
      </c>
      <c r="E166" s="295">
        <f>E165+D166</f>
        <v/>
      </c>
      <c r="F166" s="295">
        <f>IF(AND(A166&gt;='Stack-Planer'!$C$9,A166&lt;'Stack-Planer'!$C$9+'Stack-Planer'!$G$87),$D$124,1)</f>
        <v/>
      </c>
      <c r="G166" s="295">
        <f>B166*F166</f>
        <v/>
      </c>
      <c r="H166" s="295">
        <f>H165+G166</f>
        <v/>
      </c>
    </row>
    <row r="167" ht="12" customHeight="1">
      <c r="A167" s="305">
        <f>A166+1</f>
        <v/>
      </c>
      <c r="B167" s="295">
        <f>(1+Parameter!$B$29*(A167-Parameter!$B$28))*Parameter!$B$30^(A167-Parameter!$B$28)</f>
        <v/>
      </c>
      <c r="C167" s="295">
        <f>IF(AND(A167&gt;='Stack-Planer'!$C$9,A167&lt;'Stack-Planer'!$C$9+'Stack-Planer'!$G$87),$D$123,1)</f>
        <v/>
      </c>
      <c r="D167" s="295">
        <f>B167*C167</f>
        <v/>
      </c>
      <c r="E167" s="295">
        <f>E166+D167</f>
        <v/>
      </c>
      <c r="F167" s="295">
        <f>IF(AND(A167&gt;='Stack-Planer'!$C$9,A167&lt;'Stack-Planer'!$C$9+'Stack-Planer'!$G$87),$D$124,1)</f>
        <v/>
      </c>
      <c r="G167" s="295">
        <f>B167*F167</f>
        <v/>
      </c>
      <c r="H167" s="295">
        <f>H166+G167</f>
        <v/>
      </c>
    </row>
    <row r="168" ht="12" customHeight="1">
      <c r="A168" s="305">
        <f>A167+1</f>
        <v/>
      </c>
      <c r="B168" s="295">
        <f>(1+Parameter!$B$29*(A168-Parameter!$B$28))*Parameter!$B$30^(A168-Parameter!$B$28)</f>
        <v/>
      </c>
      <c r="C168" s="295">
        <f>IF(AND(A168&gt;='Stack-Planer'!$C$9,A168&lt;'Stack-Planer'!$C$9+'Stack-Planer'!$G$87),$D$123,1)</f>
        <v/>
      </c>
      <c r="D168" s="295">
        <f>B168*C168</f>
        <v/>
      </c>
      <c r="E168" s="295">
        <f>E167+D168</f>
        <v/>
      </c>
      <c r="F168" s="295">
        <f>IF(AND(A168&gt;='Stack-Planer'!$C$9,A168&lt;'Stack-Planer'!$C$9+'Stack-Planer'!$G$87),$D$124,1)</f>
        <v/>
      </c>
      <c r="G168" s="295">
        <f>B168*F168</f>
        <v/>
      </c>
      <c r="H168" s="295">
        <f>H167+G168</f>
        <v/>
      </c>
    </row>
    <row r="169" ht="12" customHeight="1">
      <c r="A169" s="305">
        <f>A168+1</f>
        <v/>
      </c>
      <c r="B169" s="295">
        <f>(1+Parameter!$B$29*(A169-Parameter!$B$28))*Parameter!$B$30^(A169-Parameter!$B$28)</f>
        <v/>
      </c>
      <c r="C169" s="295">
        <f>IF(AND(A169&gt;='Stack-Planer'!$C$9,A169&lt;'Stack-Planer'!$C$9+'Stack-Planer'!$G$87),$D$123,1)</f>
        <v/>
      </c>
      <c r="D169" s="295">
        <f>B169*C169</f>
        <v/>
      </c>
      <c r="E169" s="295">
        <f>E168+D169</f>
        <v/>
      </c>
      <c r="F169" s="295">
        <f>IF(AND(A169&gt;='Stack-Planer'!$C$9,A169&lt;'Stack-Planer'!$C$9+'Stack-Planer'!$G$87),$D$124,1)</f>
        <v/>
      </c>
      <c r="G169" s="295">
        <f>B169*F169</f>
        <v/>
      </c>
      <c r="H169" s="295">
        <f>H168+G169</f>
        <v/>
      </c>
    </row>
    <row r="170" ht="12" customHeight="1">
      <c r="A170" s="305">
        <f>A169+1</f>
        <v/>
      </c>
      <c r="B170" s="295">
        <f>(1+Parameter!$B$29*(A170-Parameter!$B$28))*Parameter!$B$30^(A170-Parameter!$B$28)</f>
        <v/>
      </c>
      <c r="C170" s="295">
        <f>IF(AND(A170&gt;='Stack-Planer'!$C$9,A170&lt;'Stack-Planer'!$C$9+'Stack-Planer'!$G$87),$D$123,1)</f>
        <v/>
      </c>
      <c r="D170" s="295">
        <f>B170*C170</f>
        <v/>
      </c>
      <c r="E170" s="295">
        <f>E169+D170</f>
        <v/>
      </c>
      <c r="F170" s="295">
        <f>IF(AND(A170&gt;='Stack-Planer'!$C$9,A170&lt;'Stack-Planer'!$C$9+'Stack-Planer'!$G$87),$D$124,1)</f>
        <v/>
      </c>
      <c r="G170" s="295">
        <f>B170*F170</f>
        <v/>
      </c>
      <c r="H170" s="295">
        <f>H169+G170</f>
        <v/>
      </c>
    </row>
    <row r="171" ht="12" customHeight="1">
      <c r="A171" s="305">
        <f>A170+1</f>
        <v/>
      </c>
      <c r="B171" s="295">
        <f>(1+Parameter!$B$29*(A171-Parameter!$B$28))*Parameter!$B$30^(A171-Parameter!$B$28)</f>
        <v/>
      </c>
      <c r="C171" s="295">
        <f>IF(AND(A171&gt;='Stack-Planer'!$C$9,A171&lt;'Stack-Planer'!$C$9+'Stack-Planer'!$G$87),$D$123,1)</f>
        <v/>
      </c>
      <c r="D171" s="295">
        <f>B171*C171</f>
        <v/>
      </c>
      <c r="E171" s="295">
        <f>E170+D171</f>
        <v/>
      </c>
      <c r="F171" s="295">
        <f>IF(AND(A171&gt;='Stack-Planer'!$C$9,A171&lt;'Stack-Planer'!$C$9+'Stack-Planer'!$G$87),$D$124,1)</f>
        <v/>
      </c>
      <c r="G171" s="295">
        <f>B171*F171</f>
        <v/>
      </c>
      <c r="H171" s="295">
        <f>H170+G171</f>
        <v/>
      </c>
    </row>
    <row r="172" ht="12" customHeight="1">
      <c r="A172" s="305">
        <f>A171+1</f>
        <v/>
      </c>
      <c r="B172" s="295">
        <f>(1+Parameter!$B$29*(A172-Parameter!$B$28))*Parameter!$B$30^(A172-Parameter!$B$28)</f>
        <v/>
      </c>
      <c r="C172" s="295">
        <f>IF(AND(A172&gt;='Stack-Planer'!$C$9,A172&lt;'Stack-Planer'!$C$9+'Stack-Planer'!$G$87),$D$123,1)</f>
        <v/>
      </c>
      <c r="D172" s="295">
        <f>B172*C172</f>
        <v/>
      </c>
      <c r="E172" s="295">
        <f>E171+D172</f>
        <v/>
      </c>
      <c r="F172" s="295">
        <f>IF(AND(A172&gt;='Stack-Planer'!$C$9,A172&lt;'Stack-Planer'!$C$9+'Stack-Planer'!$G$87),$D$124,1)</f>
        <v/>
      </c>
      <c r="G172" s="295">
        <f>B172*F172</f>
        <v/>
      </c>
      <c r="H172" s="295">
        <f>H171+G172</f>
        <v/>
      </c>
    </row>
    <row r="173" ht="12" customHeight="1">
      <c r="A173" s="305">
        <f>A172+1</f>
        <v/>
      </c>
      <c r="B173" s="295">
        <f>(1+Parameter!$B$29*(A173-Parameter!$B$28))*Parameter!$B$30^(A173-Parameter!$B$28)</f>
        <v/>
      </c>
      <c r="C173" s="295">
        <f>IF(AND(A173&gt;='Stack-Planer'!$C$9,A173&lt;'Stack-Planer'!$C$9+'Stack-Planer'!$G$87),$D$123,1)</f>
        <v/>
      </c>
      <c r="D173" s="295">
        <f>B173*C173</f>
        <v/>
      </c>
      <c r="E173" s="295">
        <f>E172+D173</f>
        <v/>
      </c>
      <c r="F173" s="295">
        <f>IF(AND(A173&gt;='Stack-Planer'!$C$9,A173&lt;'Stack-Planer'!$C$9+'Stack-Planer'!$G$87),$D$124,1)</f>
        <v/>
      </c>
      <c r="G173" s="295">
        <f>B173*F173</f>
        <v/>
      </c>
      <c r="H173" s="295">
        <f>H172+G173</f>
        <v/>
      </c>
    </row>
    <row r="174" ht="12" customHeight="1">
      <c r="A174" s="305">
        <f>A173+1</f>
        <v/>
      </c>
      <c r="B174" s="295">
        <f>(1+Parameter!$B$29*(A174-Parameter!$B$28))*Parameter!$B$30^(A174-Parameter!$B$28)</f>
        <v/>
      </c>
      <c r="C174" s="295">
        <f>IF(AND(A174&gt;='Stack-Planer'!$C$9,A174&lt;'Stack-Planer'!$C$9+'Stack-Planer'!$G$87),$D$123,1)</f>
        <v/>
      </c>
      <c r="D174" s="295">
        <f>B174*C174</f>
        <v/>
      </c>
      <c r="E174" s="295">
        <f>E173+D174</f>
        <v/>
      </c>
      <c r="F174" s="295">
        <f>IF(AND(A174&gt;='Stack-Planer'!$C$9,A174&lt;'Stack-Planer'!$C$9+'Stack-Planer'!$G$87),$D$124,1)</f>
        <v/>
      </c>
      <c r="G174" s="295">
        <f>B174*F174</f>
        <v/>
      </c>
      <c r="H174" s="295">
        <f>H173+G174</f>
        <v/>
      </c>
    </row>
    <row r="175" ht="12" customHeight="1">
      <c r="A175" s="305">
        <f>A174+1</f>
        <v/>
      </c>
      <c r="B175" s="295">
        <f>(1+Parameter!$B$29*(A175-Parameter!$B$28))*Parameter!$B$30^(A175-Parameter!$B$28)</f>
        <v/>
      </c>
      <c r="C175" s="295">
        <f>IF(AND(A175&gt;='Stack-Planer'!$C$9,A175&lt;'Stack-Planer'!$C$9+'Stack-Planer'!$G$87),$D$123,1)</f>
        <v/>
      </c>
      <c r="D175" s="295">
        <f>B175*C175</f>
        <v/>
      </c>
      <c r="E175" s="295">
        <f>E174+D175</f>
        <v/>
      </c>
      <c r="F175" s="295">
        <f>IF(AND(A175&gt;='Stack-Planer'!$C$9,A175&lt;'Stack-Planer'!$C$9+'Stack-Planer'!$G$87),$D$124,1)</f>
        <v/>
      </c>
      <c r="G175" s="295">
        <f>B175*F175</f>
        <v/>
      </c>
      <c r="H175" s="295">
        <f>H174+G175</f>
        <v/>
      </c>
    </row>
    <row r="176" ht="12" customHeight="1">
      <c r="A176" s="305">
        <f>A175+1</f>
        <v/>
      </c>
      <c r="B176" s="295">
        <f>(1+Parameter!$B$29*(A176-Parameter!$B$28))*Parameter!$B$30^(A176-Parameter!$B$28)</f>
        <v/>
      </c>
      <c r="C176" s="295">
        <f>IF(AND(A176&gt;='Stack-Planer'!$C$9,A176&lt;'Stack-Planer'!$C$9+'Stack-Planer'!$G$87),$D$123,1)</f>
        <v/>
      </c>
      <c r="D176" s="295">
        <f>B176*C176</f>
        <v/>
      </c>
      <c r="E176" s="295">
        <f>E175+D176</f>
        <v/>
      </c>
      <c r="F176" s="295">
        <f>IF(AND(A176&gt;='Stack-Planer'!$C$9,A176&lt;'Stack-Planer'!$C$9+'Stack-Planer'!$G$87),$D$124,1)</f>
        <v/>
      </c>
      <c r="G176" s="295">
        <f>B176*F176</f>
        <v/>
      </c>
      <c r="H176" s="295">
        <f>H175+G176</f>
        <v/>
      </c>
    </row>
    <row r="177" ht="12" customHeight="1">
      <c r="A177" s="305">
        <f>A176+1</f>
        <v/>
      </c>
      <c r="B177" s="295">
        <f>(1+Parameter!$B$29*(A177-Parameter!$B$28))*Parameter!$B$30^(A177-Parameter!$B$28)</f>
        <v/>
      </c>
      <c r="C177" s="295">
        <f>IF(AND(A177&gt;='Stack-Planer'!$C$9,A177&lt;'Stack-Planer'!$C$9+'Stack-Planer'!$G$87),$D$123,1)</f>
        <v/>
      </c>
      <c r="D177" s="295">
        <f>B177*C177</f>
        <v/>
      </c>
      <c r="E177" s="295">
        <f>E176+D177</f>
        <v/>
      </c>
      <c r="F177" s="295">
        <f>IF(AND(A177&gt;='Stack-Planer'!$C$9,A177&lt;'Stack-Planer'!$C$9+'Stack-Planer'!$G$87),$D$124,1)</f>
        <v/>
      </c>
      <c r="G177" s="295">
        <f>B177*F177</f>
        <v/>
      </c>
      <c r="H177" s="295">
        <f>H176+G177</f>
        <v/>
      </c>
    </row>
    <row r="178" ht="12" customHeight="1">
      <c r="A178" s="305">
        <f>A177+1</f>
        <v/>
      </c>
      <c r="B178" s="295">
        <f>(1+Parameter!$B$29*(A178-Parameter!$B$28))*Parameter!$B$30^(A178-Parameter!$B$28)</f>
        <v/>
      </c>
      <c r="C178" s="295">
        <f>IF(AND(A178&gt;='Stack-Planer'!$C$9,A178&lt;'Stack-Planer'!$C$9+'Stack-Planer'!$G$87),$D$123,1)</f>
        <v/>
      </c>
      <c r="D178" s="295">
        <f>B178*C178</f>
        <v/>
      </c>
      <c r="E178" s="295">
        <f>E177+D178</f>
        <v/>
      </c>
      <c r="F178" s="295">
        <f>IF(AND(A178&gt;='Stack-Planer'!$C$9,A178&lt;'Stack-Planer'!$C$9+'Stack-Planer'!$G$87),$D$124,1)</f>
        <v/>
      </c>
      <c r="G178" s="295">
        <f>B178*F178</f>
        <v/>
      </c>
      <c r="H178" s="295">
        <f>H177+G178</f>
        <v/>
      </c>
    </row>
    <row r="179" ht="12" customHeight="1">
      <c r="A179" s="305">
        <f>A178+1</f>
        <v/>
      </c>
      <c r="B179" s="295">
        <f>(1+Parameter!$B$29*(A179-Parameter!$B$28))*Parameter!$B$30^(A179-Parameter!$B$28)</f>
        <v/>
      </c>
      <c r="C179" s="295">
        <f>IF(AND(A179&gt;='Stack-Planer'!$C$9,A179&lt;'Stack-Planer'!$C$9+'Stack-Planer'!$G$87),$D$123,1)</f>
        <v/>
      </c>
      <c r="D179" s="295">
        <f>B179*C179</f>
        <v/>
      </c>
      <c r="E179" s="295">
        <f>E178+D179</f>
        <v/>
      </c>
      <c r="F179" s="295">
        <f>IF(AND(A179&gt;='Stack-Planer'!$C$9,A179&lt;'Stack-Planer'!$C$9+'Stack-Planer'!$G$87),$D$124,1)</f>
        <v/>
      </c>
      <c r="G179" s="295">
        <f>B179*F179</f>
        <v/>
      </c>
      <c r="H179" s="295">
        <f>H178+G179</f>
        <v/>
      </c>
    </row>
    <row r="180" ht="12" customHeight="1">
      <c r="A180" s="305">
        <f>A179+1</f>
        <v/>
      </c>
      <c r="B180" s="295">
        <f>(1+Parameter!$B$29*(A180-Parameter!$B$28))*Parameter!$B$30^(A180-Parameter!$B$28)</f>
        <v/>
      </c>
      <c r="C180" s="295">
        <f>IF(AND(A180&gt;='Stack-Planer'!$C$9,A180&lt;'Stack-Planer'!$C$9+'Stack-Planer'!$G$87),$D$123,1)</f>
        <v/>
      </c>
      <c r="D180" s="295">
        <f>B180*C180</f>
        <v/>
      </c>
      <c r="E180" s="295">
        <f>E179+D180</f>
        <v/>
      </c>
      <c r="F180" s="295">
        <f>IF(AND(A180&gt;='Stack-Planer'!$C$9,A180&lt;'Stack-Planer'!$C$9+'Stack-Planer'!$G$87),$D$124,1)</f>
        <v/>
      </c>
      <c r="G180" s="295">
        <f>B180*F180</f>
        <v/>
      </c>
      <c r="H180" s="295">
        <f>H179+G180</f>
        <v/>
      </c>
    </row>
    <row r="181" ht="12" customHeight="1">
      <c r="A181" s="305">
        <f>A180+1</f>
        <v/>
      </c>
      <c r="B181" s="295">
        <f>(1+Parameter!$B$29*(A181-Parameter!$B$28))*Parameter!$B$30^(A181-Parameter!$B$28)</f>
        <v/>
      </c>
      <c r="C181" s="295">
        <f>IF(AND(A181&gt;='Stack-Planer'!$C$9,A181&lt;'Stack-Planer'!$C$9+'Stack-Planer'!$G$87),$D$123,1)</f>
        <v/>
      </c>
      <c r="D181" s="295">
        <f>B181*C181</f>
        <v/>
      </c>
      <c r="E181" s="295">
        <f>E180+D181</f>
        <v/>
      </c>
      <c r="F181" s="295">
        <f>IF(AND(A181&gt;='Stack-Planer'!$C$9,A181&lt;'Stack-Planer'!$C$9+'Stack-Planer'!$G$87),$D$124,1)</f>
        <v/>
      </c>
      <c r="G181" s="295">
        <f>B181*F181</f>
        <v/>
      </c>
      <c r="H181" s="295">
        <f>H180+G181</f>
        <v/>
      </c>
    </row>
    <row r="182" ht="12" customHeight="1">
      <c r="A182" s="305">
        <f>A181+1</f>
        <v/>
      </c>
      <c r="B182" s="295">
        <f>(1+Parameter!$B$29*(A182-Parameter!$B$28))*Parameter!$B$30^(A182-Parameter!$B$28)</f>
        <v/>
      </c>
      <c r="C182" s="295">
        <f>IF(AND(A182&gt;='Stack-Planer'!$C$9,A182&lt;'Stack-Planer'!$C$9+'Stack-Planer'!$G$87),$D$123,1)</f>
        <v/>
      </c>
      <c r="D182" s="295">
        <f>B182*C182</f>
        <v/>
      </c>
      <c r="E182" s="295">
        <f>E181+D182</f>
        <v/>
      </c>
      <c r="F182" s="295">
        <f>IF(AND(A182&gt;='Stack-Planer'!$C$9,A182&lt;'Stack-Planer'!$C$9+'Stack-Planer'!$G$87),$D$124,1)</f>
        <v/>
      </c>
      <c r="G182" s="295">
        <f>B182*F182</f>
        <v/>
      </c>
      <c r="H182" s="295">
        <f>H181+G182</f>
        <v/>
      </c>
    </row>
    <row r="183" ht="12" customHeight="1">
      <c r="A183" s="305">
        <f>A182+1</f>
        <v/>
      </c>
      <c r="B183" s="295">
        <f>(1+Parameter!$B$29*(A183-Parameter!$B$28))*Parameter!$B$30^(A183-Parameter!$B$28)</f>
        <v/>
      </c>
      <c r="C183" s="295">
        <f>IF(AND(A183&gt;='Stack-Planer'!$C$9,A183&lt;'Stack-Planer'!$C$9+'Stack-Planer'!$G$87),$D$123,1)</f>
        <v/>
      </c>
      <c r="D183" s="295">
        <f>B183*C183</f>
        <v/>
      </c>
      <c r="E183" s="295">
        <f>E182+D183</f>
        <v/>
      </c>
      <c r="F183" s="295">
        <f>IF(AND(A183&gt;='Stack-Planer'!$C$9,A183&lt;'Stack-Planer'!$C$9+'Stack-Planer'!$G$87),$D$124,1)</f>
        <v/>
      </c>
      <c r="G183" s="295">
        <f>B183*F183</f>
        <v/>
      </c>
      <c r="H183" s="295">
        <f>H182+G183</f>
        <v/>
      </c>
    </row>
    <row r="184" ht="12" customHeight="1">
      <c r="A184" s="305">
        <f>A183+1</f>
        <v/>
      </c>
      <c r="B184" s="295">
        <f>(1+Parameter!$B$29*(A184-Parameter!$B$28))*Parameter!$B$30^(A184-Parameter!$B$28)</f>
        <v/>
      </c>
      <c r="C184" s="295">
        <f>IF(AND(A184&gt;='Stack-Planer'!$C$9,A184&lt;'Stack-Planer'!$C$9+'Stack-Planer'!$G$87),$D$123,1)</f>
        <v/>
      </c>
      <c r="D184" s="295">
        <f>B184*C184</f>
        <v/>
      </c>
      <c r="E184" s="295">
        <f>E183+D184</f>
        <v/>
      </c>
      <c r="F184" s="295">
        <f>IF(AND(A184&gt;='Stack-Planer'!$C$9,A184&lt;'Stack-Planer'!$C$9+'Stack-Planer'!$G$87),$D$124,1)</f>
        <v/>
      </c>
      <c r="G184" s="295">
        <f>B184*F184</f>
        <v/>
      </c>
      <c r="H184" s="295">
        <f>H183+G184</f>
        <v/>
      </c>
    </row>
    <row r="185" ht="12" customHeight="1">
      <c r="A185" s="305">
        <f>A184+1</f>
        <v/>
      </c>
      <c r="B185" s="295">
        <f>(1+Parameter!$B$29*(A185-Parameter!$B$28))*Parameter!$B$30^(A185-Parameter!$B$28)</f>
        <v/>
      </c>
      <c r="C185" s="295">
        <f>IF(AND(A185&gt;='Stack-Planer'!$C$9,A185&lt;'Stack-Planer'!$C$9+'Stack-Planer'!$G$87),$D$123,1)</f>
        <v/>
      </c>
      <c r="D185" s="295">
        <f>B185*C185</f>
        <v/>
      </c>
      <c r="E185" s="295">
        <f>E184+D185</f>
        <v/>
      </c>
      <c r="F185" s="295">
        <f>IF(AND(A185&gt;='Stack-Planer'!$C$9,A185&lt;'Stack-Planer'!$C$9+'Stack-Planer'!$G$87),$D$124,1)</f>
        <v/>
      </c>
      <c r="G185" s="295">
        <f>B185*F185</f>
        <v/>
      </c>
      <c r="H185" s="295">
        <f>H184+G185</f>
        <v/>
      </c>
    </row>
    <row r="186" ht="12" customHeight="1">
      <c r="A186" s="305">
        <f>A185+1</f>
        <v/>
      </c>
      <c r="B186" s="295">
        <f>(1+Parameter!$B$29*(A186-Parameter!$B$28))*Parameter!$B$30^(A186-Parameter!$B$28)</f>
        <v/>
      </c>
      <c r="C186" s="295">
        <f>IF(AND(A186&gt;='Stack-Planer'!$C$9,A186&lt;'Stack-Planer'!$C$9+'Stack-Planer'!$G$87),$D$123,1)</f>
        <v/>
      </c>
      <c r="D186" s="295">
        <f>B186*C186</f>
        <v/>
      </c>
      <c r="E186" s="295">
        <f>E185+D186</f>
        <v/>
      </c>
      <c r="F186" s="295">
        <f>IF(AND(A186&gt;='Stack-Planer'!$C$9,A186&lt;'Stack-Planer'!$C$9+'Stack-Planer'!$G$87),$D$124,1)</f>
        <v/>
      </c>
      <c r="G186" s="295">
        <f>B186*F186</f>
        <v/>
      </c>
      <c r="H186" s="295">
        <f>H185+G186</f>
        <v/>
      </c>
    </row>
    <row r="187" ht="12" customHeight="1">
      <c r="A187" s="305">
        <f>A186+1</f>
        <v/>
      </c>
      <c r="B187" s="295">
        <f>(1+Parameter!$B$29*(A187-Parameter!$B$28))*Parameter!$B$30^(A187-Parameter!$B$28)</f>
        <v/>
      </c>
      <c r="C187" s="295">
        <f>IF(AND(A187&gt;='Stack-Planer'!$C$9,A187&lt;'Stack-Planer'!$C$9+'Stack-Planer'!$G$87),$D$123,1)</f>
        <v/>
      </c>
      <c r="D187" s="295">
        <f>B187*C187</f>
        <v/>
      </c>
      <c r="E187" s="295">
        <f>E186+D187</f>
        <v/>
      </c>
      <c r="F187" s="295">
        <f>IF(AND(A187&gt;='Stack-Planer'!$C$9,A187&lt;'Stack-Planer'!$C$9+'Stack-Planer'!$G$87),$D$124,1)</f>
        <v/>
      </c>
      <c r="G187" s="295">
        <f>B187*F187</f>
        <v/>
      </c>
      <c r="H187" s="295">
        <f>H186+G187</f>
        <v/>
      </c>
    </row>
    <row r="188" ht="12" customHeight="1">
      <c r="A188" s="305">
        <f>A187+1</f>
        <v/>
      </c>
      <c r="B188" s="295">
        <f>(1+Parameter!$B$29*(A188-Parameter!$B$28))*Parameter!$B$30^(A188-Parameter!$B$28)</f>
        <v/>
      </c>
      <c r="C188" s="295">
        <f>IF(AND(A188&gt;='Stack-Planer'!$C$9,A188&lt;'Stack-Planer'!$C$9+'Stack-Planer'!$G$87),$D$123,1)</f>
        <v/>
      </c>
      <c r="D188" s="295">
        <f>B188*C188</f>
        <v/>
      </c>
      <c r="E188" s="295">
        <f>E187+D188</f>
        <v/>
      </c>
      <c r="F188" s="295">
        <f>IF(AND(A188&gt;='Stack-Planer'!$C$9,A188&lt;'Stack-Planer'!$C$9+'Stack-Planer'!$G$87),$D$124,1)</f>
        <v/>
      </c>
      <c r="G188" s="295">
        <f>B188*F188</f>
        <v/>
      </c>
      <c r="H188" s="295">
        <f>H187+G188</f>
        <v/>
      </c>
    </row>
    <row r="189" ht="12" customHeight="1">
      <c r="A189" s="305">
        <f>A188+1</f>
        <v/>
      </c>
      <c r="B189" s="295">
        <f>(1+Parameter!$B$29*(A189-Parameter!$B$28))*Parameter!$B$30^(A189-Parameter!$B$28)</f>
        <v/>
      </c>
      <c r="C189" s="295">
        <f>IF(AND(A189&gt;='Stack-Planer'!$C$9,A189&lt;'Stack-Planer'!$C$9+'Stack-Planer'!$G$87),$D$123,1)</f>
        <v/>
      </c>
      <c r="D189" s="295">
        <f>B189*C189</f>
        <v/>
      </c>
      <c r="E189" s="295">
        <f>E188+D189</f>
        <v/>
      </c>
      <c r="F189" s="295">
        <f>IF(AND(A189&gt;='Stack-Planer'!$C$9,A189&lt;'Stack-Planer'!$C$9+'Stack-Planer'!$G$87),$D$124,1)</f>
        <v/>
      </c>
      <c r="G189" s="295">
        <f>B189*F189</f>
        <v/>
      </c>
      <c r="H189" s="295">
        <f>H188+G189</f>
        <v/>
      </c>
    </row>
    <row r="190" ht="12" customHeight="1">
      <c r="A190" s="305">
        <f>A189+1</f>
        <v/>
      </c>
      <c r="B190" s="295">
        <f>(1+Parameter!$B$29*(A190-Parameter!$B$28))*Parameter!$B$30^(A190-Parameter!$B$28)</f>
        <v/>
      </c>
      <c r="C190" s="295">
        <f>IF(AND(A190&gt;='Stack-Planer'!$C$9,A190&lt;'Stack-Planer'!$C$9+'Stack-Planer'!$G$87),$D$123,1)</f>
        <v/>
      </c>
      <c r="D190" s="295">
        <f>B190*C190</f>
        <v/>
      </c>
      <c r="E190" s="295">
        <f>E189+D190</f>
        <v/>
      </c>
      <c r="F190" s="295">
        <f>IF(AND(A190&gt;='Stack-Planer'!$C$9,A190&lt;'Stack-Planer'!$C$9+'Stack-Planer'!$G$87),$D$124,1)</f>
        <v/>
      </c>
      <c r="G190" s="295">
        <f>B190*F190</f>
        <v/>
      </c>
      <c r="H190" s="295">
        <f>H189+G190</f>
        <v/>
      </c>
    </row>
    <row r="191" ht="12" customHeight="1">
      <c r="A191" s="305">
        <f>A190+1</f>
        <v/>
      </c>
      <c r="B191" s="295">
        <f>(1+Parameter!$B$29*(A191-Parameter!$B$28))*Parameter!$B$30^(A191-Parameter!$B$28)</f>
        <v/>
      </c>
      <c r="C191" s="295">
        <f>IF(AND(A191&gt;='Stack-Planer'!$C$9,A191&lt;'Stack-Planer'!$C$9+'Stack-Planer'!$G$87),$D$123,1)</f>
        <v/>
      </c>
      <c r="D191" s="295">
        <f>B191*C191</f>
        <v/>
      </c>
      <c r="E191" s="295">
        <f>E190+D191</f>
        <v/>
      </c>
      <c r="F191" s="295">
        <f>IF(AND(A191&gt;='Stack-Planer'!$C$9,A191&lt;'Stack-Planer'!$C$9+'Stack-Planer'!$G$87),$D$124,1)</f>
        <v/>
      </c>
      <c r="G191" s="295">
        <f>B191*F191</f>
        <v/>
      </c>
      <c r="H191" s="295">
        <f>H190+G191</f>
        <v/>
      </c>
    </row>
    <row r="192" ht="12" customHeight="1">
      <c r="A192" s="305">
        <f>A191+1</f>
        <v/>
      </c>
      <c r="B192" s="295">
        <f>(1+Parameter!$B$29*(A192-Parameter!$B$28))*Parameter!$B$30^(A192-Parameter!$B$28)</f>
        <v/>
      </c>
      <c r="C192" s="295">
        <f>IF(AND(A192&gt;='Stack-Planer'!$C$9,A192&lt;'Stack-Planer'!$C$9+'Stack-Planer'!$G$87),$D$123,1)</f>
        <v/>
      </c>
      <c r="D192" s="295">
        <f>B192*C192</f>
        <v/>
      </c>
      <c r="E192" s="295">
        <f>E191+D192</f>
        <v/>
      </c>
      <c r="F192" s="295">
        <f>IF(AND(A192&gt;='Stack-Planer'!$C$9,A192&lt;'Stack-Planer'!$C$9+'Stack-Planer'!$G$87),$D$124,1)</f>
        <v/>
      </c>
      <c r="G192" s="295">
        <f>B192*F192</f>
        <v/>
      </c>
      <c r="H192" s="295">
        <f>H191+G192</f>
        <v/>
      </c>
    </row>
    <row r="193" ht="12" customHeight="1">
      <c r="A193" s="305">
        <f>A192+1</f>
        <v/>
      </c>
      <c r="B193" s="295">
        <f>(1+Parameter!$B$29*(A193-Parameter!$B$28))*Parameter!$B$30^(A193-Parameter!$B$28)</f>
        <v/>
      </c>
      <c r="C193" s="295">
        <f>IF(AND(A193&gt;='Stack-Planer'!$C$9,A193&lt;'Stack-Planer'!$C$9+'Stack-Planer'!$G$87),$D$123,1)</f>
        <v/>
      </c>
      <c r="D193" s="295">
        <f>B193*C193</f>
        <v/>
      </c>
      <c r="E193" s="295">
        <f>E192+D193</f>
        <v/>
      </c>
      <c r="F193" s="295">
        <f>IF(AND(A193&gt;='Stack-Planer'!$C$9,A193&lt;'Stack-Planer'!$C$9+'Stack-Planer'!$G$87),$D$124,1)</f>
        <v/>
      </c>
      <c r="G193" s="295">
        <f>B193*F193</f>
        <v/>
      </c>
      <c r="H193" s="295">
        <f>H192+G193</f>
        <v/>
      </c>
    </row>
    <row r="194" ht="12" customHeight="1">
      <c r="A194" s="305">
        <f>A193+1</f>
        <v/>
      </c>
      <c r="B194" s="295">
        <f>(1+Parameter!$B$29*(A194-Parameter!$B$28))*Parameter!$B$30^(A194-Parameter!$B$28)</f>
        <v/>
      </c>
      <c r="C194" s="295">
        <f>IF(AND(A194&gt;='Stack-Planer'!$C$9,A194&lt;'Stack-Planer'!$C$9+'Stack-Planer'!$G$87),$D$123,1)</f>
        <v/>
      </c>
      <c r="D194" s="295">
        <f>B194*C194</f>
        <v/>
      </c>
      <c r="E194" s="295">
        <f>E193+D194</f>
        <v/>
      </c>
      <c r="F194" s="295">
        <f>IF(AND(A194&gt;='Stack-Planer'!$C$9,A194&lt;'Stack-Planer'!$C$9+'Stack-Planer'!$G$87),$D$124,1)</f>
        <v/>
      </c>
      <c r="G194" s="295">
        <f>B194*F194</f>
        <v/>
      </c>
      <c r="H194" s="295">
        <f>H193+G194</f>
        <v/>
      </c>
    </row>
    <row r="195" ht="12" customHeight="1">
      <c r="A195" s="305">
        <f>A194+1</f>
        <v/>
      </c>
      <c r="B195" s="295">
        <f>(1+Parameter!$B$29*(A195-Parameter!$B$28))*Parameter!$B$30^(A195-Parameter!$B$28)</f>
        <v/>
      </c>
      <c r="C195" s="295">
        <f>IF(AND(A195&gt;='Stack-Planer'!$C$9,A195&lt;'Stack-Planer'!$C$9+'Stack-Planer'!$G$87),$D$123,1)</f>
        <v/>
      </c>
      <c r="D195" s="295">
        <f>B195*C195</f>
        <v/>
      </c>
      <c r="E195" s="295">
        <f>E194+D195</f>
        <v/>
      </c>
      <c r="F195" s="295">
        <f>IF(AND(A195&gt;='Stack-Planer'!$C$9,A195&lt;'Stack-Planer'!$C$9+'Stack-Planer'!$G$87),$D$124,1)</f>
        <v/>
      </c>
      <c r="G195" s="295">
        <f>B195*F195</f>
        <v/>
      </c>
      <c r="H195" s="295">
        <f>H194+G195</f>
        <v/>
      </c>
    </row>
    <row r="196" ht="12" customHeight="1">
      <c r="A196" s="305">
        <f>A195+1</f>
        <v/>
      </c>
      <c r="B196" s="295">
        <f>(1+Parameter!$B$29*(A196-Parameter!$B$28))*Parameter!$B$30^(A196-Parameter!$B$28)</f>
        <v/>
      </c>
      <c r="C196" s="295">
        <f>IF(AND(A196&gt;='Stack-Planer'!$C$9,A196&lt;'Stack-Planer'!$C$9+'Stack-Planer'!$G$87),$D$123,1)</f>
        <v/>
      </c>
      <c r="D196" s="295">
        <f>B196*C196</f>
        <v/>
      </c>
      <c r="E196" s="295">
        <f>E195+D196</f>
        <v/>
      </c>
      <c r="F196" s="295">
        <f>IF(AND(A196&gt;='Stack-Planer'!$C$9,A196&lt;'Stack-Planer'!$C$9+'Stack-Planer'!$G$87),$D$124,1)</f>
        <v/>
      </c>
      <c r="G196" s="295">
        <f>B196*F196</f>
        <v/>
      </c>
      <c r="H196" s="295">
        <f>H195+G196</f>
        <v/>
      </c>
    </row>
    <row r="197" ht="12" customHeight="1">
      <c r="A197" s="305">
        <f>A196+1</f>
        <v/>
      </c>
      <c r="B197" s="295">
        <f>(1+Parameter!$B$29*(A197-Parameter!$B$28))*Parameter!$B$30^(A197-Parameter!$B$28)</f>
        <v/>
      </c>
      <c r="C197" s="295">
        <f>IF(AND(A197&gt;='Stack-Planer'!$C$9,A197&lt;'Stack-Planer'!$C$9+'Stack-Planer'!$G$87),$D$123,1)</f>
        <v/>
      </c>
      <c r="D197" s="295">
        <f>B197*C197</f>
        <v/>
      </c>
      <c r="E197" s="295">
        <f>E196+D197</f>
        <v/>
      </c>
      <c r="F197" s="295">
        <f>IF(AND(A197&gt;='Stack-Planer'!$C$9,A197&lt;'Stack-Planer'!$C$9+'Stack-Planer'!$G$87),$D$124,1)</f>
        <v/>
      </c>
      <c r="G197" s="295">
        <f>B197*F197</f>
        <v/>
      </c>
      <c r="H197" s="295">
        <f>H196+G197</f>
        <v/>
      </c>
    </row>
    <row r="198" ht="12" customHeight="1">
      <c r="A198" s="305">
        <f>A197+1</f>
        <v/>
      </c>
      <c r="B198" s="295">
        <f>(1+Parameter!$B$29*(A198-Parameter!$B$28))*Parameter!$B$30^(A198-Parameter!$B$28)</f>
        <v/>
      </c>
      <c r="C198" s="295">
        <f>IF(AND(A198&gt;='Stack-Planer'!$C$9,A198&lt;'Stack-Planer'!$C$9+'Stack-Planer'!$G$87),$D$123,1)</f>
        <v/>
      </c>
      <c r="D198" s="295">
        <f>B198*C198</f>
        <v/>
      </c>
      <c r="E198" s="295">
        <f>E197+D198</f>
        <v/>
      </c>
      <c r="F198" s="295">
        <f>IF(AND(A198&gt;='Stack-Planer'!$C$9,A198&lt;'Stack-Planer'!$C$9+'Stack-Planer'!$G$87),$D$124,1)</f>
        <v/>
      </c>
      <c r="G198" s="295">
        <f>B198*F198</f>
        <v/>
      </c>
      <c r="H198" s="295">
        <f>H197+G198</f>
        <v/>
      </c>
    </row>
    <row r="199" ht="12" customHeight="1">
      <c r="A199" s="305">
        <f>A198+1</f>
        <v/>
      </c>
      <c r="B199" s="295">
        <f>(1+Parameter!$B$29*(A199-Parameter!$B$28))*Parameter!$B$30^(A199-Parameter!$B$28)</f>
        <v/>
      </c>
      <c r="C199" s="295">
        <f>IF(AND(A199&gt;='Stack-Planer'!$C$9,A199&lt;'Stack-Planer'!$C$9+'Stack-Planer'!$G$87),$D$123,1)</f>
        <v/>
      </c>
      <c r="D199" s="295">
        <f>B199*C199</f>
        <v/>
      </c>
      <c r="E199" s="295">
        <f>E198+D199</f>
        <v/>
      </c>
      <c r="F199" s="295">
        <f>IF(AND(A199&gt;='Stack-Planer'!$C$9,A199&lt;'Stack-Planer'!$C$9+'Stack-Planer'!$G$87),$D$124,1)</f>
        <v/>
      </c>
      <c r="G199" s="295">
        <f>B199*F199</f>
        <v/>
      </c>
      <c r="H199" s="295">
        <f>H198+G199</f>
        <v/>
      </c>
    </row>
    <row r="200" ht="12" customHeight="1">
      <c r="A200" s="305">
        <f>A199+1</f>
        <v/>
      </c>
      <c r="B200" s="295">
        <f>(1+Parameter!$B$29*(A200-Parameter!$B$28))*Parameter!$B$30^(A200-Parameter!$B$28)</f>
        <v/>
      </c>
      <c r="C200" s="295">
        <f>IF(AND(A200&gt;='Stack-Planer'!$C$9,A200&lt;'Stack-Planer'!$C$9+'Stack-Planer'!$G$87),$D$123,1)</f>
        <v/>
      </c>
      <c r="D200" s="295">
        <f>B200*C200</f>
        <v/>
      </c>
      <c r="E200" s="295">
        <f>E199+D200</f>
        <v/>
      </c>
      <c r="F200" s="295">
        <f>IF(AND(A200&gt;='Stack-Planer'!$C$9,A200&lt;'Stack-Planer'!$C$9+'Stack-Planer'!$G$87),$D$124,1)</f>
        <v/>
      </c>
      <c r="G200" s="295">
        <f>B200*F200</f>
        <v/>
      </c>
      <c r="H200" s="295">
        <f>H199+G200</f>
        <v/>
      </c>
    </row>
    <row r="201" ht="12" customHeight="1">
      <c r="A201" s="305">
        <f>A200+1</f>
        <v/>
      </c>
      <c r="B201" s="295">
        <f>(1+Parameter!$B$29*(A201-Parameter!$B$28))*Parameter!$B$30^(A201-Parameter!$B$28)</f>
        <v/>
      </c>
      <c r="C201" s="295">
        <f>IF(AND(A201&gt;='Stack-Planer'!$C$9,A201&lt;'Stack-Planer'!$C$9+'Stack-Planer'!$G$87),$D$123,1)</f>
        <v/>
      </c>
      <c r="D201" s="295">
        <f>B201*C201</f>
        <v/>
      </c>
      <c r="E201" s="295">
        <f>E200+D201</f>
        <v/>
      </c>
      <c r="F201" s="295">
        <f>IF(AND(A201&gt;='Stack-Planer'!$C$9,A201&lt;'Stack-Planer'!$C$9+'Stack-Planer'!$G$87),$D$124,1)</f>
        <v/>
      </c>
      <c r="G201" s="295">
        <f>B201*F201</f>
        <v/>
      </c>
      <c r="H201" s="295">
        <f>H200+G201</f>
        <v/>
      </c>
    </row>
    <row r="202" ht="12" customHeight="1">
      <c r="A202" s="305">
        <f>A201+1</f>
        <v/>
      </c>
      <c r="B202" s="295">
        <f>(1+Parameter!$B$29*(A202-Parameter!$B$28))*Parameter!$B$30^(A202-Parameter!$B$28)</f>
        <v/>
      </c>
      <c r="C202" s="295">
        <f>IF(AND(A202&gt;='Stack-Planer'!$C$9,A202&lt;'Stack-Planer'!$C$9+'Stack-Planer'!$G$87),$D$123,1)</f>
        <v/>
      </c>
      <c r="D202" s="295">
        <f>B202*C202</f>
        <v/>
      </c>
      <c r="E202" s="295">
        <f>E201+D202</f>
        <v/>
      </c>
      <c r="F202" s="295">
        <f>IF(AND(A202&gt;='Stack-Planer'!$C$9,A202&lt;'Stack-Planer'!$C$9+'Stack-Planer'!$G$87),$D$124,1)</f>
        <v/>
      </c>
      <c r="G202" s="295">
        <f>B202*F202</f>
        <v/>
      </c>
      <c r="H202" s="295">
        <f>H201+G202</f>
        <v/>
      </c>
    </row>
    <row r="203" ht="12" customHeight="1">
      <c r="A203" s="305">
        <f>A202+1</f>
        <v/>
      </c>
      <c r="B203" s="295">
        <f>(1+Parameter!$B$29*(A203-Parameter!$B$28))*Parameter!$B$30^(A203-Parameter!$B$28)</f>
        <v/>
      </c>
      <c r="C203" s="295">
        <f>IF(AND(A203&gt;='Stack-Planer'!$C$9,A203&lt;'Stack-Planer'!$C$9+'Stack-Planer'!$G$87),$D$123,1)</f>
        <v/>
      </c>
      <c r="D203" s="295">
        <f>B203*C203</f>
        <v/>
      </c>
      <c r="E203" s="295">
        <f>E202+D203</f>
        <v/>
      </c>
      <c r="F203" s="295">
        <f>IF(AND(A203&gt;='Stack-Planer'!$C$9,A203&lt;'Stack-Planer'!$C$9+'Stack-Planer'!$G$87),$D$124,1)</f>
        <v/>
      </c>
      <c r="G203" s="295">
        <f>B203*F203</f>
        <v/>
      </c>
      <c r="H203" s="295">
        <f>H202+G203</f>
        <v/>
      </c>
    </row>
    <row r="204" ht="12" customHeight="1">
      <c r="A204" s="305">
        <f>A203+1</f>
        <v/>
      </c>
      <c r="B204" s="295">
        <f>(1+Parameter!$B$29*(A204-Parameter!$B$28))*Parameter!$B$30^(A204-Parameter!$B$28)</f>
        <v/>
      </c>
      <c r="C204" s="295">
        <f>IF(AND(A204&gt;='Stack-Planer'!$C$9,A204&lt;'Stack-Planer'!$C$9+'Stack-Planer'!$G$87),$D$123,1)</f>
        <v/>
      </c>
      <c r="D204" s="295">
        <f>B204*C204</f>
        <v/>
      </c>
      <c r="E204" s="295">
        <f>E203+D204</f>
        <v/>
      </c>
      <c r="F204" s="295">
        <f>IF(AND(A204&gt;='Stack-Planer'!$C$9,A204&lt;'Stack-Planer'!$C$9+'Stack-Planer'!$G$87),$D$124,1)</f>
        <v/>
      </c>
      <c r="G204" s="295">
        <f>B204*F204</f>
        <v/>
      </c>
      <c r="H204" s="295">
        <f>H203+G204</f>
        <v/>
      </c>
    </row>
    <row r="205" ht="12" customHeight="1">
      <c r="A205" s="305">
        <f>A204+1</f>
        <v/>
      </c>
      <c r="B205" s="295">
        <f>(1+Parameter!$B$29*(A205-Parameter!$B$28))*Parameter!$B$30^(A205-Parameter!$B$28)</f>
        <v/>
      </c>
      <c r="C205" s="295">
        <f>IF(AND(A205&gt;='Stack-Planer'!$C$9,A205&lt;'Stack-Planer'!$C$9+'Stack-Planer'!$G$87),$D$123,1)</f>
        <v/>
      </c>
      <c r="D205" s="295">
        <f>B205*C205</f>
        <v/>
      </c>
      <c r="E205" s="295">
        <f>E204+D205</f>
        <v/>
      </c>
      <c r="F205" s="295">
        <f>IF(AND(A205&gt;='Stack-Planer'!$C$9,A205&lt;'Stack-Planer'!$C$9+'Stack-Planer'!$G$87),$D$124,1)</f>
        <v/>
      </c>
      <c r="G205" s="295">
        <f>B205*F205</f>
        <v/>
      </c>
      <c r="H205" s="295">
        <f>H204+G205</f>
        <v/>
      </c>
    </row>
    <row r="206" ht="12" customHeight="1">
      <c r="A206" s="305">
        <f>A205+1</f>
        <v/>
      </c>
      <c r="B206" s="295">
        <f>(1+Parameter!$B$29*(A206-Parameter!$B$28))*Parameter!$B$30^(A206-Parameter!$B$28)</f>
        <v/>
      </c>
      <c r="C206" s="295">
        <f>IF(AND(A206&gt;='Stack-Planer'!$C$9,A206&lt;'Stack-Planer'!$C$9+'Stack-Planer'!$G$87),$D$123,1)</f>
        <v/>
      </c>
      <c r="D206" s="295">
        <f>B206*C206</f>
        <v/>
      </c>
      <c r="E206" s="295">
        <f>E205+D206</f>
        <v/>
      </c>
      <c r="F206" s="295">
        <f>IF(AND(A206&gt;='Stack-Planer'!$C$9,A206&lt;'Stack-Planer'!$C$9+'Stack-Planer'!$G$87),$D$124,1)</f>
        <v/>
      </c>
      <c r="G206" s="295">
        <f>B206*F206</f>
        <v/>
      </c>
      <c r="H206" s="295">
        <f>H205+G206</f>
        <v/>
      </c>
    </row>
    <row r="207" ht="12" customHeight="1">
      <c r="A207" s="305">
        <f>A206+1</f>
        <v/>
      </c>
      <c r="B207" s="295">
        <f>(1+Parameter!$B$29*(A207-Parameter!$B$28))*Parameter!$B$30^(A207-Parameter!$B$28)</f>
        <v/>
      </c>
      <c r="C207" s="295">
        <f>IF(AND(A207&gt;='Stack-Planer'!$C$9,A207&lt;'Stack-Planer'!$C$9+'Stack-Planer'!$G$87),$D$123,1)</f>
        <v/>
      </c>
      <c r="D207" s="295">
        <f>B207*C207</f>
        <v/>
      </c>
      <c r="E207" s="295">
        <f>E206+D207</f>
        <v/>
      </c>
      <c r="F207" s="295">
        <f>IF(AND(A207&gt;='Stack-Planer'!$C$9,A207&lt;'Stack-Planer'!$C$9+'Stack-Planer'!$G$87),$D$124,1)</f>
        <v/>
      </c>
      <c r="G207" s="295">
        <f>B207*F207</f>
        <v/>
      </c>
      <c r="H207" s="295">
        <f>H206+G207</f>
        <v/>
      </c>
    </row>
    <row r="208" ht="12" customHeight="1">
      <c r="A208" s="305">
        <f>A207+1</f>
        <v/>
      </c>
      <c r="B208" s="295">
        <f>(1+Parameter!$B$29*(A208-Parameter!$B$28))*Parameter!$B$30^(A208-Parameter!$B$28)</f>
        <v/>
      </c>
      <c r="C208" s="295">
        <f>IF(AND(A208&gt;='Stack-Planer'!$C$9,A208&lt;'Stack-Planer'!$C$9+'Stack-Planer'!$G$87),$D$123,1)</f>
        <v/>
      </c>
      <c r="D208" s="295">
        <f>B208*C208</f>
        <v/>
      </c>
      <c r="E208" s="295">
        <f>E207+D208</f>
        <v/>
      </c>
      <c r="F208" s="295">
        <f>IF(AND(A208&gt;='Stack-Planer'!$C$9,A208&lt;'Stack-Planer'!$C$9+'Stack-Planer'!$G$87),$D$124,1)</f>
        <v/>
      </c>
      <c r="G208" s="295">
        <f>B208*F208</f>
        <v/>
      </c>
      <c r="H208" s="295">
        <f>H207+G208</f>
        <v/>
      </c>
    </row>
    <row r="209" ht="12" customHeight="1">
      <c r="A209" s="305">
        <f>A208+1</f>
        <v/>
      </c>
      <c r="B209" s="295">
        <f>(1+Parameter!$B$29*(A209-Parameter!$B$28))*Parameter!$B$30^(A209-Parameter!$B$28)</f>
        <v/>
      </c>
      <c r="C209" s="295">
        <f>IF(AND(A209&gt;='Stack-Planer'!$C$9,A209&lt;'Stack-Planer'!$C$9+'Stack-Planer'!$G$87),$D$123,1)</f>
        <v/>
      </c>
      <c r="D209" s="295">
        <f>B209*C209</f>
        <v/>
      </c>
      <c r="E209" s="295">
        <f>E208+D209</f>
        <v/>
      </c>
      <c r="F209" s="295">
        <f>IF(AND(A209&gt;='Stack-Planer'!$C$9,A209&lt;'Stack-Planer'!$C$9+'Stack-Planer'!$G$87),$D$124,1)</f>
        <v/>
      </c>
      <c r="G209" s="295">
        <f>B209*F209</f>
        <v/>
      </c>
      <c r="H209" s="295">
        <f>H208+G209</f>
        <v/>
      </c>
    </row>
    <row r="210" ht="12" customHeight="1">
      <c r="A210" s="305">
        <f>A209+1</f>
        <v/>
      </c>
      <c r="B210" s="295">
        <f>(1+Parameter!$B$29*(A210-Parameter!$B$28))*Parameter!$B$30^(A210-Parameter!$B$28)</f>
        <v/>
      </c>
      <c r="C210" s="295">
        <f>IF(AND(A210&gt;='Stack-Planer'!$C$9,A210&lt;'Stack-Planer'!$C$9+'Stack-Planer'!$G$87),$D$123,1)</f>
        <v/>
      </c>
      <c r="D210" s="295">
        <f>B210*C210</f>
        <v/>
      </c>
      <c r="E210" s="295">
        <f>E209+D210</f>
        <v/>
      </c>
      <c r="F210" s="295">
        <f>IF(AND(A210&gt;='Stack-Planer'!$C$9,A210&lt;'Stack-Planer'!$C$9+'Stack-Planer'!$G$87),$D$124,1)</f>
        <v/>
      </c>
      <c r="G210" s="295">
        <f>B210*F210</f>
        <v/>
      </c>
      <c r="H210" s="295">
        <f>H209+G210</f>
        <v/>
      </c>
    </row>
    <row r="211" ht="12" customHeight="1">
      <c r="A211" s="305">
        <f>A210+1</f>
        <v/>
      </c>
      <c r="B211" s="295">
        <f>(1+Parameter!$B$29*(A211-Parameter!$B$28))*Parameter!$B$30^(A211-Parameter!$B$28)</f>
        <v/>
      </c>
      <c r="C211" s="295">
        <f>IF(AND(A211&gt;='Stack-Planer'!$C$9,A211&lt;'Stack-Planer'!$C$9+'Stack-Planer'!$G$87),$D$123,1)</f>
        <v/>
      </c>
      <c r="D211" s="295">
        <f>B211*C211</f>
        <v/>
      </c>
      <c r="E211" s="295">
        <f>E210+D211</f>
        <v/>
      </c>
      <c r="F211" s="295">
        <f>IF(AND(A211&gt;='Stack-Planer'!$C$9,A211&lt;'Stack-Planer'!$C$9+'Stack-Planer'!$G$87),$D$124,1)</f>
        <v/>
      </c>
      <c r="G211" s="295">
        <f>B211*F211</f>
        <v/>
      </c>
      <c r="H211" s="295">
        <f>H210+G211</f>
        <v/>
      </c>
    </row>
    <row r="212" ht="12" customHeight="1">
      <c r="A212" s="305">
        <f>A211+1</f>
        <v/>
      </c>
      <c r="B212" s="295">
        <f>(1+Parameter!$B$29*(A212-Parameter!$B$28))*Parameter!$B$30^(A212-Parameter!$B$28)</f>
        <v/>
      </c>
      <c r="C212" s="295">
        <f>IF(AND(A212&gt;='Stack-Planer'!$C$9,A212&lt;'Stack-Planer'!$C$9+'Stack-Planer'!$G$87),$D$123,1)</f>
        <v/>
      </c>
      <c r="D212" s="295">
        <f>B212*C212</f>
        <v/>
      </c>
      <c r="E212" s="295">
        <f>E211+D212</f>
        <v/>
      </c>
      <c r="F212" s="295">
        <f>IF(AND(A212&gt;='Stack-Planer'!$C$9,A212&lt;'Stack-Planer'!$C$9+'Stack-Planer'!$G$87),$D$124,1)</f>
        <v/>
      </c>
      <c r="G212" s="295">
        <f>B212*F212</f>
        <v/>
      </c>
      <c r="H212" s="295">
        <f>H211+G212</f>
        <v/>
      </c>
    </row>
    <row r="213" ht="12" customHeight="1">
      <c r="A213" s="305">
        <f>A212+1</f>
        <v/>
      </c>
      <c r="B213" s="295">
        <f>(1+Parameter!$B$29*(A213-Parameter!$B$28))*Parameter!$B$30^(A213-Parameter!$B$28)</f>
        <v/>
      </c>
      <c r="C213" s="295">
        <f>IF(AND(A213&gt;='Stack-Planer'!$C$9,A213&lt;'Stack-Planer'!$C$9+'Stack-Planer'!$G$87),$D$123,1)</f>
        <v/>
      </c>
      <c r="D213" s="295">
        <f>B213*C213</f>
        <v/>
      </c>
      <c r="E213" s="295">
        <f>E212+D213</f>
        <v/>
      </c>
      <c r="F213" s="295">
        <f>IF(AND(A213&gt;='Stack-Planer'!$C$9,A213&lt;'Stack-Planer'!$C$9+'Stack-Planer'!$G$87),$D$124,1)</f>
        <v/>
      </c>
      <c r="G213" s="295">
        <f>B213*F213</f>
        <v/>
      </c>
      <c r="H213" s="295">
        <f>H212+G213</f>
        <v/>
      </c>
    </row>
    <row r="214" ht="12" customHeight="1">
      <c r="A214" s="305">
        <f>A213+1</f>
        <v/>
      </c>
      <c r="B214" s="295">
        <f>(1+Parameter!$B$29*(A214-Parameter!$B$28))*Parameter!$B$30^(A214-Parameter!$B$28)</f>
        <v/>
      </c>
      <c r="C214" s="295">
        <f>IF(AND(A214&gt;='Stack-Planer'!$C$9,A214&lt;'Stack-Planer'!$C$9+'Stack-Planer'!$G$87),$D$123,1)</f>
        <v/>
      </c>
      <c r="D214" s="295">
        <f>B214*C214</f>
        <v/>
      </c>
      <c r="E214" s="295">
        <f>E213+D214</f>
        <v/>
      </c>
      <c r="F214" s="295">
        <f>IF(AND(A214&gt;='Stack-Planer'!$C$9,A214&lt;'Stack-Planer'!$C$9+'Stack-Planer'!$G$87),$D$124,1)</f>
        <v/>
      </c>
      <c r="G214" s="295">
        <f>B214*F214</f>
        <v/>
      </c>
      <c r="H214" s="295">
        <f>H213+G214</f>
        <v/>
      </c>
    </row>
    <row r="215" ht="12" customHeight="1">
      <c r="A215" s="305">
        <f>A214+1</f>
        <v/>
      </c>
      <c r="B215" s="295">
        <f>(1+Parameter!$B$29*(A215-Parameter!$B$28))*Parameter!$B$30^(A215-Parameter!$B$28)</f>
        <v/>
      </c>
      <c r="C215" s="295">
        <f>IF(AND(A215&gt;='Stack-Planer'!$C$9,A215&lt;'Stack-Planer'!$C$9+'Stack-Planer'!$G$87),$D$123,1)</f>
        <v/>
      </c>
      <c r="D215" s="295">
        <f>B215*C215</f>
        <v/>
      </c>
      <c r="E215" s="295">
        <f>E214+D215</f>
        <v/>
      </c>
      <c r="F215" s="295">
        <f>IF(AND(A215&gt;='Stack-Planer'!$C$9,A215&lt;'Stack-Planer'!$C$9+'Stack-Planer'!$G$87),$D$124,1)</f>
        <v/>
      </c>
      <c r="G215" s="295">
        <f>B215*F215</f>
        <v/>
      </c>
      <c r="H215" s="295">
        <f>H214+G215</f>
        <v/>
      </c>
    </row>
    <row r="216" ht="12" customHeight="1">
      <c r="A216" s="305">
        <f>A215+1</f>
        <v/>
      </c>
      <c r="B216" s="295">
        <f>(1+Parameter!$B$29*(A216-Parameter!$B$28))*Parameter!$B$30^(A216-Parameter!$B$28)</f>
        <v/>
      </c>
      <c r="C216" s="295">
        <f>IF(AND(A216&gt;='Stack-Planer'!$C$9,A216&lt;'Stack-Planer'!$C$9+'Stack-Planer'!$G$87),$D$123,1)</f>
        <v/>
      </c>
      <c r="D216" s="295">
        <f>B216*C216</f>
        <v/>
      </c>
      <c r="E216" s="295">
        <f>E215+D216</f>
        <v/>
      </c>
      <c r="F216" s="295">
        <f>IF(AND(A216&gt;='Stack-Planer'!$C$9,A216&lt;'Stack-Planer'!$C$9+'Stack-Planer'!$G$87),$D$124,1)</f>
        <v/>
      </c>
      <c r="G216" s="295">
        <f>B216*F216</f>
        <v/>
      </c>
      <c r="H216" s="295">
        <f>H215+G216</f>
        <v/>
      </c>
    </row>
    <row r="217" ht="12" customHeight="1">
      <c r="A217" s="305">
        <f>A216+1</f>
        <v/>
      </c>
      <c r="B217" s="295">
        <f>(1+Parameter!$B$29*(A217-Parameter!$B$28))*Parameter!$B$30^(A217-Parameter!$B$28)</f>
        <v/>
      </c>
      <c r="C217" s="295">
        <f>IF(AND(A217&gt;='Stack-Planer'!$C$9,A217&lt;'Stack-Planer'!$C$9+'Stack-Planer'!$G$87),$D$123,1)</f>
        <v/>
      </c>
      <c r="D217" s="295">
        <f>B217*C217</f>
        <v/>
      </c>
      <c r="E217" s="295">
        <f>E216+D217</f>
        <v/>
      </c>
      <c r="F217" s="295">
        <f>IF(AND(A217&gt;='Stack-Planer'!$C$9,A217&lt;'Stack-Planer'!$C$9+'Stack-Planer'!$G$87),$D$124,1)</f>
        <v/>
      </c>
      <c r="G217" s="295">
        <f>B217*F217</f>
        <v/>
      </c>
      <c r="H217" s="295">
        <f>H216+G217</f>
        <v/>
      </c>
    </row>
    <row r="218" ht="12" customHeight="1">
      <c r="A218" s="305">
        <f>A217+1</f>
        <v/>
      </c>
      <c r="B218" s="295">
        <f>(1+Parameter!$B$29*(A218-Parameter!$B$28))*Parameter!$B$30^(A218-Parameter!$B$28)</f>
        <v/>
      </c>
      <c r="C218" s="295">
        <f>IF(AND(A218&gt;='Stack-Planer'!$C$9,A218&lt;'Stack-Planer'!$C$9+'Stack-Planer'!$G$87),$D$123,1)</f>
        <v/>
      </c>
      <c r="D218" s="295">
        <f>B218*C218</f>
        <v/>
      </c>
      <c r="E218" s="295">
        <f>E217+D218</f>
        <v/>
      </c>
      <c r="F218" s="295">
        <f>IF(AND(A218&gt;='Stack-Planer'!$C$9,A218&lt;'Stack-Planer'!$C$9+'Stack-Planer'!$G$87),$D$124,1)</f>
        <v/>
      </c>
      <c r="G218" s="295">
        <f>B218*F218</f>
        <v/>
      </c>
      <c r="H218" s="295">
        <f>H217+G218</f>
        <v/>
      </c>
    </row>
    <row r="219" ht="12" customHeight="1">
      <c r="A219" s="305">
        <f>A218+1</f>
        <v/>
      </c>
      <c r="B219" s="295">
        <f>(1+Parameter!$B$29*(A219-Parameter!$B$28))*Parameter!$B$30^(A219-Parameter!$B$28)</f>
        <v/>
      </c>
      <c r="C219" s="295">
        <f>IF(AND(A219&gt;='Stack-Planer'!$C$9,A219&lt;'Stack-Planer'!$C$9+'Stack-Planer'!$G$87),$D$123,1)</f>
        <v/>
      </c>
      <c r="D219" s="295">
        <f>B219*C219</f>
        <v/>
      </c>
      <c r="E219" s="295">
        <f>E218+D219</f>
        <v/>
      </c>
      <c r="F219" s="295">
        <f>IF(AND(A219&gt;='Stack-Planer'!$C$9,A219&lt;'Stack-Planer'!$C$9+'Stack-Planer'!$G$87),$D$124,1)</f>
        <v/>
      </c>
      <c r="G219" s="295">
        <f>B219*F219</f>
        <v/>
      </c>
      <c r="H219" s="295">
        <f>H218+G219</f>
        <v/>
      </c>
    </row>
    <row r="220" ht="12" customHeight="1">
      <c r="A220" s="305">
        <f>A219+1</f>
        <v/>
      </c>
      <c r="B220" s="295">
        <f>(1+Parameter!$B$29*(A220-Parameter!$B$28))*Parameter!$B$30^(A220-Parameter!$B$28)</f>
        <v/>
      </c>
      <c r="C220" s="295">
        <f>IF(AND(A220&gt;='Stack-Planer'!$C$9,A220&lt;'Stack-Planer'!$C$9+'Stack-Planer'!$G$87),$D$123,1)</f>
        <v/>
      </c>
      <c r="D220" s="295">
        <f>B220*C220</f>
        <v/>
      </c>
      <c r="E220" s="295">
        <f>E219+D220</f>
        <v/>
      </c>
      <c r="F220" s="295">
        <f>IF(AND(A220&gt;='Stack-Planer'!$C$9,A220&lt;'Stack-Planer'!$C$9+'Stack-Planer'!$G$87),$D$124,1)</f>
        <v/>
      </c>
      <c r="G220" s="295">
        <f>B220*F220</f>
        <v/>
      </c>
      <c r="H220" s="295">
        <f>H219+G220</f>
        <v/>
      </c>
    </row>
    <row r="221" ht="12" customHeight="1">
      <c r="A221" s="305">
        <f>A220+1</f>
        <v/>
      </c>
      <c r="B221" s="295">
        <f>(1+Parameter!$B$29*(A221-Parameter!$B$28))*Parameter!$B$30^(A221-Parameter!$B$28)</f>
        <v/>
      </c>
      <c r="C221" s="295">
        <f>IF(AND(A221&gt;='Stack-Planer'!$C$9,A221&lt;'Stack-Planer'!$C$9+'Stack-Planer'!$G$87),$D$123,1)</f>
        <v/>
      </c>
      <c r="D221" s="295">
        <f>B221*C221</f>
        <v/>
      </c>
      <c r="E221" s="295">
        <f>E220+D221</f>
        <v/>
      </c>
      <c r="F221" s="295">
        <f>IF(AND(A221&gt;='Stack-Planer'!$C$9,A221&lt;'Stack-Planer'!$C$9+'Stack-Planer'!$G$87),$D$124,1)</f>
        <v/>
      </c>
      <c r="G221" s="295">
        <f>B221*F221</f>
        <v/>
      </c>
      <c r="H221" s="295">
        <f>H220+G221</f>
        <v/>
      </c>
    </row>
    <row r="222" ht="12" customHeight="1">
      <c r="A222" s="305">
        <f>A221+1</f>
        <v/>
      </c>
      <c r="B222" s="295">
        <f>(1+Parameter!$B$29*(A222-Parameter!$B$28))*Parameter!$B$30^(A222-Parameter!$B$28)</f>
        <v/>
      </c>
      <c r="C222" s="295">
        <f>IF(AND(A222&gt;='Stack-Planer'!$C$9,A222&lt;'Stack-Planer'!$C$9+'Stack-Planer'!$G$87),$D$123,1)</f>
        <v/>
      </c>
      <c r="D222" s="295">
        <f>B222*C222</f>
        <v/>
      </c>
      <c r="E222" s="295">
        <f>E221+D222</f>
        <v/>
      </c>
      <c r="F222" s="295">
        <f>IF(AND(A222&gt;='Stack-Planer'!$C$9,A222&lt;'Stack-Planer'!$C$9+'Stack-Planer'!$G$87),$D$124,1)</f>
        <v/>
      </c>
      <c r="G222" s="295">
        <f>B222*F222</f>
        <v/>
      </c>
      <c r="H222" s="295">
        <f>H221+G222</f>
        <v/>
      </c>
    </row>
    <row r="223" ht="12" customHeight="1">
      <c r="A223" s="305">
        <f>A222+1</f>
        <v/>
      </c>
      <c r="B223" s="295">
        <f>(1+Parameter!$B$29*(A223-Parameter!$B$28))*Parameter!$B$30^(A223-Parameter!$B$28)</f>
        <v/>
      </c>
      <c r="C223" s="295">
        <f>IF(AND(A223&gt;='Stack-Planer'!$C$9,A223&lt;'Stack-Planer'!$C$9+'Stack-Planer'!$G$87),$D$123,1)</f>
        <v/>
      </c>
      <c r="D223" s="295">
        <f>B223*C223</f>
        <v/>
      </c>
      <c r="E223" s="295">
        <f>E222+D223</f>
        <v/>
      </c>
      <c r="F223" s="295">
        <f>IF(AND(A223&gt;='Stack-Planer'!$C$9,A223&lt;'Stack-Planer'!$C$9+'Stack-Planer'!$G$87),$D$124,1)</f>
        <v/>
      </c>
      <c r="G223" s="295">
        <f>B223*F223</f>
        <v/>
      </c>
      <c r="H223" s="295">
        <f>H222+G223</f>
        <v/>
      </c>
    </row>
    <row r="224" ht="12" customHeight="1">
      <c r="A224" s="305">
        <f>A223+1</f>
        <v/>
      </c>
      <c r="B224" s="295">
        <f>(1+Parameter!$B$29*(A224-Parameter!$B$28))*Parameter!$B$30^(A224-Parameter!$B$28)</f>
        <v/>
      </c>
      <c r="C224" s="295">
        <f>IF(AND(A224&gt;='Stack-Planer'!$C$9,A224&lt;'Stack-Planer'!$C$9+'Stack-Planer'!$G$87),$D$123,1)</f>
        <v/>
      </c>
      <c r="D224" s="295">
        <f>B224*C224</f>
        <v/>
      </c>
      <c r="E224" s="295">
        <f>E223+D224</f>
        <v/>
      </c>
      <c r="F224" s="295">
        <f>IF(AND(A224&gt;='Stack-Planer'!$C$9,A224&lt;'Stack-Planer'!$C$9+'Stack-Planer'!$G$87),$D$124,1)</f>
        <v/>
      </c>
      <c r="G224" s="295">
        <f>B224*F224</f>
        <v/>
      </c>
      <c r="H224" s="295">
        <f>H223+G224</f>
        <v/>
      </c>
    </row>
    <row r="225" ht="12" customHeight="1">
      <c r="A225" s="305">
        <f>A224+1</f>
        <v/>
      </c>
      <c r="B225" s="295">
        <f>(1+Parameter!$B$29*(A225-Parameter!$B$28))*Parameter!$B$30^(A225-Parameter!$B$28)</f>
        <v/>
      </c>
      <c r="C225" s="295">
        <f>IF(AND(A225&gt;='Stack-Planer'!$C$9,A225&lt;'Stack-Planer'!$C$9+'Stack-Planer'!$G$87),$D$123,1)</f>
        <v/>
      </c>
      <c r="D225" s="295">
        <f>B225*C225</f>
        <v/>
      </c>
      <c r="E225" s="295">
        <f>E224+D225</f>
        <v/>
      </c>
      <c r="F225" s="295">
        <f>IF(AND(A225&gt;='Stack-Planer'!$C$9,A225&lt;'Stack-Planer'!$C$9+'Stack-Planer'!$G$87),$D$124,1)</f>
        <v/>
      </c>
      <c r="G225" s="295">
        <f>B225*F225</f>
        <v/>
      </c>
      <c r="H225" s="295">
        <f>H224+G225</f>
        <v/>
      </c>
    </row>
    <row r="226" ht="12" customHeight="1">
      <c r="A226" s="305">
        <f>A225+1</f>
        <v/>
      </c>
      <c r="B226" s="295">
        <f>(1+Parameter!$B$29*(A226-Parameter!$B$28))*Parameter!$B$30^(A226-Parameter!$B$28)</f>
        <v/>
      </c>
      <c r="C226" s="295">
        <f>IF(AND(A226&gt;='Stack-Planer'!$C$9,A226&lt;'Stack-Planer'!$C$9+'Stack-Planer'!$G$87),$D$123,1)</f>
        <v/>
      </c>
      <c r="D226" s="295">
        <f>B226*C226</f>
        <v/>
      </c>
      <c r="E226" s="295">
        <f>E225+D226</f>
        <v/>
      </c>
      <c r="F226" s="295">
        <f>IF(AND(A226&gt;='Stack-Planer'!$C$9,A226&lt;'Stack-Planer'!$C$9+'Stack-Planer'!$G$87),$D$124,1)</f>
        <v/>
      </c>
      <c r="G226" s="295">
        <f>B226*F226</f>
        <v/>
      </c>
      <c r="H226" s="295">
        <f>H225+G226</f>
        <v/>
      </c>
    </row>
    <row r="227" ht="12" customHeight="1">
      <c r="A227" s="305">
        <f>A226+1</f>
        <v/>
      </c>
      <c r="B227" s="295">
        <f>(1+Parameter!$B$29*(A227-Parameter!$B$28))*Parameter!$B$30^(A227-Parameter!$B$28)</f>
        <v/>
      </c>
      <c r="C227" s="295">
        <f>IF(AND(A227&gt;='Stack-Planer'!$C$9,A227&lt;'Stack-Planer'!$C$9+'Stack-Planer'!$G$87),$D$123,1)</f>
        <v/>
      </c>
      <c r="D227" s="295">
        <f>B227*C227</f>
        <v/>
      </c>
      <c r="E227" s="295">
        <f>E226+D227</f>
        <v/>
      </c>
      <c r="F227" s="295">
        <f>IF(AND(A227&gt;='Stack-Planer'!$C$9,A227&lt;'Stack-Planer'!$C$9+'Stack-Planer'!$G$87),$D$124,1)</f>
        <v/>
      </c>
      <c r="G227" s="295">
        <f>B227*F227</f>
        <v/>
      </c>
      <c r="H227" s="295">
        <f>H226+G227</f>
        <v/>
      </c>
    </row>
    <row r="228" ht="12" customHeight="1">
      <c r="A228" s="305">
        <f>A227+1</f>
        <v/>
      </c>
      <c r="B228" s="295">
        <f>(1+Parameter!$B$29*(A228-Parameter!$B$28))*Parameter!$B$30^(A228-Parameter!$B$28)</f>
        <v/>
      </c>
      <c r="C228" s="295">
        <f>IF(AND(A228&gt;='Stack-Planer'!$C$9,A228&lt;'Stack-Planer'!$C$9+'Stack-Planer'!$G$87),$D$123,1)</f>
        <v/>
      </c>
      <c r="D228" s="295">
        <f>B228*C228</f>
        <v/>
      </c>
      <c r="E228" s="295">
        <f>E227+D228</f>
        <v/>
      </c>
      <c r="F228" s="295">
        <f>IF(AND(A228&gt;='Stack-Planer'!$C$9,A228&lt;'Stack-Planer'!$C$9+'Stack-Planer'!$G$87),$D$124,1)</f>
        <v/>
      </c>
      <c r="G228" s="295">
        <f>B228*F228</f>
        <v/>
      </c>
      <c r="H228" s="295">
        <f>H227+G228</f>
        <v/>
      </c>
    </row>
    <row r="229" ht="12" customHeight="1">
      <c r="A229" s="305">
        <f>A228+1</f>
        <v/>
      </c>
      <c r="B229" s="295">
        <f>(1+Parameter!$B$29*(A229-Parameter!$B$28))*Parameter!$B$30^(A229-Parameter!$B$28)</f>
        <v/>
      </c>
      <c r="C229" s="295">
        <f>IF(AND(A229&gt;='Stack-Planer'!$C$9,A229&lt;'Stack-Planer'!$C$9+'Stack-Planer'!$G$87),$D$123,1)</f>
        <v/>
      </c>
      <c r="D229" s="295">
        <f>B229*C229</f>
        <v/>
      </c>
      <c r="E229" s="295">
        <f>E228+D229</f>
        <v/>
      </c>
      <c r="F229" s="295">
        <f>IF(AND(A229&gt;='Stack-Planer'!$C$9,A229&lt;'Stack-Planer'!$C$9+'Stack-Planer'!$G$87),$D$124,1)</f>
        <v/>
      </c>
      <c r="G229" s="295">
        <f>B229*F229</f>
        <v/>
      </c>
      <c r="H229" s="295">
        <f>H228+G229</f>
        <v/>
      </c>
    </row>
    <row r="230" ht="12" customHeight="1">
      <c r="A230" s="305">
        <f>A229+1</f>
        <v/>
      </c>
      <c r="B230" s="295">
        <f>(1+Parameter!$B$29*(A230-Parameter!$B$28))*Parameter!$B$30^(A230-Parameter!$B$28)</f>
        <v/>
      </c>
      <c r="C230" s="295">
        <f>IF(AND(A230&gt;='Stack-Planer'!$C$9,A230&lt;'Stack-Planer'!$C$9+'Stack-Planer'!$G$87),$D$123,1)</f>
        <v/>
      </c>
      <c r="D230" s="295">
        <f>B230*C230</f>
        <v/>
      </c>
      <c r="E230" s="295">
        <f>E229+D230</f>
        <v/>
      </c>
      <c r="F230" s="295">
        <f>IF(AND(A230&gt;='Stack-Planer'!$C$9,A230&lt;'Stack-Planer'!$C$9+'Stack-Planer'!$G$87),$D$124,1)</f>
        <v/>
      </c>
      <c r="G230" s="295">
        <f>B230*F230</f>
        <v/>
      </c>
      <c r="H230" s="295">
        <f>H229+G230</f>
        <v/>
      </c>
    </row>
    <row r="231" ht="12" customHeight="1">
      <c r="A231" s="305">
        <f>A230+1</f>
        <v/>
      </c>
      <c r="B231" s="295">
        <f>(1+Parameter!$B$29*(A231-Parameter!$B$28))*Parameter!$B$30^(A231-Parameter!$B$28)</f>
        <v/>
      </c>
      <c r="C231" s="295">
        <f>IF(AND(A231&gt;='Stack-Planer'!$C$9,A231&lt;'Stack-Planer'!$C$9+'Stack-Planer'!$G$87),$D$123,1)</f>
        <v/>
      </c>
      <c r="D231" s="295">
        <f>B231*C231</f>
        <v/>
      </c>
      <c r="E231" s="295">
        <f>E230+D231</f>
        <v/>
      </c>
      <c r="F231" s="295">
        <f>IF(AND(A231&gt;='Stack-Planer'!$C$9,A231&lt;'Stack-Planer'!$C$9+'Stack-Planer'!$G$87),$D$124,1)</f>
        <v/>
      </c>
      <c r="G231" s="295">
        <f>B231*F231</f>
        <v/>
      </c>
      <c r="H231" s="295">
        <f>H230+G231</f>
        <v/>
      </c>
    </row>
    <row r="232" ht="12" customHeight="1">
      <c r="A232" s="305">
        <f>A231+1</f>
        <v/>
      </c>
      <c r="B232" s="295">
        <f>(1+Parameter!$B$29*(A232-Parameter!$B$28))*Parameter!$B$30^(A232-Parameter!$B$28)</f>
        <v/>
      </c>
      <c r="C232" s="295">
        <f>IF(AND(A232&gt;='Stack-Planer'!$C$9,A232&lt;'Stack-Planer'!$C$9+'Stack-Planer'!$G$87),$D$123,1)</f>
        <v/>
      </c>
      <c r="D232" s="295">
        <f>B232*C232</f>
        <v/>
      </c>
      <c r="E232" s="295">
        <f>E231+D232</f>
        <v/>
      </c>
      <c r="F232" s="295">
        <f>IF(AND(A232&gt;='Stack-Planer'!$C$9,A232&lt;'Stack-Planer'!$C$9+'Stack-Planer'!$G$87),$D$124,1)</f>
        <v/>
      </c>
      <c r="G232" s="295">
        <f>B232*F232</f>
        <v/>
      </c>
      <c r="H232" s="295">
        <f>H231+G232</f>
        <v/>
      </c>
    </row>
    <row r="233" ht="12" customHeight="1">
      <c r="A233" s="305">
        <f>A232+1</f>
        <v/>
      </c>
      <c r="B233" s="295">
        <f>(1+Parameter!$B$29*(A233-Parameter!$B$28))*Parameter!$B$30^(A233-Parameter!$B$28)</f>
        <v/>
      </c>
      <c r="C233" s="295">
        <f>IF(AND(A233&gt;='Stack-Planer'!$C$9,A233&lt;'Stack-Planer'!$C$9+'Stack-Planer'!$G$87),$D$123,1)</f>
        <v/>
      </c>
      <c r="D233" s="295">
        <f>B233*C233</f>
        <v/>
      </c>
      <c r="E233" s="295">
        <f>E232+D233</f>
        <v/>
      </c>
      <c r="F233" s="295">
        <f>IF(AND(A233&gt;='Stack-Planer'!$C$9,A233&lt;'Stack-Planer'!$C$9+'Stack-Planer'!$G$87),$D$124,1)</f>
        <v/>
      </c>
      <c r="G233" s="295">
        <f>B233*F233</f>
        <v/>
      </c>
      <c r="H233" s="295">
        <f>H232+G233</f>
        <v/>
      </c>
    </row>
    <row r="234" ht="12" customHeight="1">
      <c r="A234" s="305">
        <f>A233+1</f>
        <v/>
      </c>
      <c r="B234" s="295">
        <f>(1+Parameter!$B$29*(A234-Parameter!$B$28))*Parameter!$B$30^(A234-Parameter!$B$28)</f>
        <v/>
      </c>
      <c r="C234" s="295">
        <f>IF(AND(A234&gt;='Stack-Planer'!$C$9,A234&lt;'Stack-Planer'!$C$9+'Stack-Planer'!$G$87),$D$123,1)</f>
        <v/>
      </c>
      <c r="D234" s="295">
        <f>B234*C234</f>
        <v/>
      </c>
      <c r="E234" s="295">
        <f>E233+D234</f>
        <v/>
      </c>
      <c r="F234" s="295">
        <f>IF(AND(A234&gt;='Stack-Planer'!$C$9,A234&lt;'Stack-Planer'!$C$9+'Stack-Planer'!$G$87),$D$124,1)</f>
        <v/>
      </c>
      <c r="G234" s="295">
        <f>B234*F234</f>
        <v/>
      </c>
      <c r="H234" s="295">
        <f>H233+G234</f>
        <v/>
      </c>
    </row>
    <row r="235" ht="12" customHeight="1">
      <c r="A235" s="305">
        <f>A234+1</f>
        <v/>
      </c>
      <c r="B235" s="295">
        <f>(1+Parameter!$B$29*(A235-Parameter!$B$28))*Parameter!$B$30^(A235-Parameter!$B$28)</f>
        <v/>
      </c>
      <c r="C235" s="295">
        <f>IF(AND(A235&gt;='Stack-Planer'!$C$9,A235&lt;'Stack-Planer'!$C$9+'Stack-Planer'!$G$87),$D$123,1)</f>
        <v/>
      </c>
      <c r="D235" s="295">
        <f>B235*C235</f>
        <v/>
      </c>
      <c r="E235" s="295">
        <f>E234+D235</f>
        <v/>
      </c>
      <c r="F235" s="295">
        <f>IF(AND(A235&gt;='Stack-Planer'!$C$9,A235&lt;'Stack-Planer'!$C$9+'Stack-Planer'!$G$87),$D$124,1)</f>
        <v/>
      </c>
      <c r="G235" s="295">
        <f>B235*F235</f>
        <v/>
      </c>
      <c r="H235" s="295">
        <f>H234+G235</f>
        <v/>
      </c>
    </row>
    <row r="236" ht="12" customHeight="1">
      <c r="A236" s="305">
        <f>A235+1</f>
        <v/>
      </c>
      <c r="B236" s="295">
        <f>(1+Parameter!$B$29*(A236-Parameter!$B$28))*Parameter!$B$30^(A236-Parameter!$B$28)</f>
        <v/>
      </c>
      <c r="C236" s="295">
        <f>IF(AND(A236&gt;='Stack-Planer'!$C$9,A236&lt;'Stack-Planer'!$C$9+'Stack-Planer'!$G$87),$D$123,1)</f>
        <v/>
      </c>
      <c r="D236" s="295">
        <f>B236*C236</f>
        <v/>
      </c>
      <c r="E236" s="295">
        <f>E235+D236</f>
        <v/>
      </c>
      <c r="F236" s="295">
        <f>IF(AND(A236&gt;='Stack-Planer'!$C$9,A236&lt;'Stack-Planer'!$C$9+'Stack-Planer'!$G$87),$D$124,1)</f>
        <v/>
      </c>
      <c r="G236" s="295">
        <f>B236*F236</f>
        <v/>
      </c>
      <c r="H236" s="295">
        <f>H235+G236</f>
        <v/>
      </c>
    </row>
    <row r="237" ht="12" customHeight="1">
      <c r="A237" s="305">
        <f>A236+1</f>
        <v/>
      </c>
      <c r="B237" s="295">
        <f>(1+Parameter!$B$29*(A237-Parameter!$B$28))*Parameter!$B$30^(A237-Parameter!$B$28)</f>
        <v/>
      </c>
      <c r="C237" s="295">
        <f>IF(AND(A237&gt;='Stack-Planer'!$C$9,A237&lt;'Stack-Planer'!$C$9+'Stack-Planer'!$G$87),$D$123,1)</f>
        <v/>
      </c>
      <c r="D237" s="295">
        <f>B237*C237</f>
        <v/>
      </c>
      <c r="E237" s="295">
        <f>E236+D237</f>
        <v/>
      </c>
      <c r="F237" s="295">
        <f>IF(AND(A237&gt;='Stack-Planer'!$C$9,A237&lt;'Stack-Planer'!$C$9+'Stack-Planer'!$G$87),$D$124,1)</f>
        <v/>
      </c>
      <c r="G237" s="295">
        <f>B237*F237</f>
        <v/>
      </c>
      <c r="H237" s="295">
        <f>H236+G237</f>
        <v/>
      </c>
    </row>
    <row r="238" ht="12" customHeight="1">
      <c r="A238" s="305">
        <f>A237+1</f>
        <v/>
      </c>
      <c r="B238" s="295">
        <f>(1+Parameter!$B$29*(A238-Parameter!$B$28))*Parameter!$B$30^(A238-Parameter!$B$28)</f>
        <v/>
      </c>
      <c r="C238" s="295">
        <f>IF(AND(A238&gt;='Stack-Planer'!$C$9,A238&lt;'Stack-Planer'!$C$9+'Stack-Planer'!$G$87),$D$123,1)</f>
        <v/>
      </c>
      <c r="D238" s="295">
        <f>B238*C238</f>
        <v/>
      </c>
      <c r="E238" s="295">
        <f>E237+D238</f>
        <v/>
      </c>
      <c r="F238" s="295">
        <f>IF(AND(A238&gt;='Stack-Planer'!$C$9,A238&lt;'Stack-Planer'!$C$9+'Stack-Planer'!$G$87),$D$124,1)</f>
        <v/>
      </c>
      <c r="G238" s="295">
        <f>B238*F238</f>
        <v/>
      </c>
      <c r="H238" s="295">
        <f>H237+G238</f>
        <v/>
      </c>
    </row>
    <row r="239" ht="12" customHeight="1">
      <c r="A239" s="305">
        <f>A238+1</f>
        <v/>
      </c>
      <c r="B239" s="295">
        <f>(1+Parameter!$B$29*(A239-Parameter!$B$28))*Parameter!$B$30^(A239-Parameter!$B$28)</f>
        <v/>
      </c>
      <c r="C239" s="295">
        <f>IF(AND(A239&gt;='Stack-Planer'!$C$9,A239&lt;'Stack-Planer'!$C$9+'Stack-Planer'!$G$87),$D$123,1)</f>
        <v/>
      </c>
      <c r="D239" s="295">
        <f>B239*C239</f>
        <v/>
      </c>
      <c r="E239" s="295">
        <f>E238+D239</f>
        <v/>
      </c>
      <c r="F239" s="295">
        <f>IF(AND(A239&gt;='Stack-Planer'!$C$9,A239&lt;'Stack-Planer'!$C$9+'Stack-Planer'!$G$87),$D$124,1)</f>
        <v/>
      </c>
      <c r="G239" s="295">
        <f>B239*F239</f>
        <v/>
      </c>
      <c r="H239" s="295">
        <f>H238+G239</f>
        <v/>
      </c>
    </row>
    <row r="240" ht="12" customHeight="1">
      <c r="A240" s="305">
        <f>A239+1</f>
        <v/>
      </c>
      <c r="B240" s="295">
        <f>(1+Parameter!$B$29*(A240-Parameter!$B$28))*Parameter!$B$30^(A240-Parameter!$B$28)</f>
        <v/>
      </c>
      <c r="C240" s="295">
        <f>IF(AND(A240&gt;='Stack-Planer'!$C$9,A240&lt;'Stack-Planer'!$C$9+'Stack-Planer'!$G$87),$D$123,1)</f>
        <v/>
      </c>
      <c r="D240" s="295">
        <f>B240*C240</f>
        <v/>
      </c>
      <c r="E240" s="295">
        <f>E239+D240</f>
        <v/>
      </c>
      <c r="F240" s="295">
        <f>IF(AND(A240&gt;='Stack-Planer'!$C$9,A240&lt;'Stack-Planer'!$C$9+'Stack-Planer'!$G$87),$D$124,1)</f>
        <v/>
      </c>
      <c r="G240" s="295">
        <f>B240*F240</f>
        <v/>
      </c>
      <c r="H240" s="295">
        <f>H239+G240</f>
        <v/>
      </c>
    </row>
    <row r="241" ht="12" customHeight="1">
      <c r="A241" s="305">
        <f>A240+1</f>
        <v/>
      </c>
      <c r="B241" s="295">
        <f>(1+Parameter!$B$29*(A241-Parameter!$B$28))*Parameter!$B$30^(A241-Parameter!$B$28)</f>
        <v/>
      </c>
      <c r="C241" s="295">
        <f>IF(AND(A241&gt;='Stack-Planer'!$C$9,A241&lt;'Stack-Planer'!$C$9+'Stack-Planer'!$G$87),$D$123,1)</f>
        <v/>
      </c>
      <c r="D241" s="295">
        <f>B241*C241</f>
        <v/>
      </c>
      <c r="E241" s="295">
        <f>E240+D241</f>
        <v/>
      </c>
      <c r="F241" s="295">
        <f>IF(AND(A241&gt;='Stack-Planer'!$C$9,A241&lt;'Stack-Planer'!$C$9+'Stack-Planer'!$G$87),$D$124,1)</f>
        <v/>
      </c>
      <c r="G241" s="295">
        <f>B241*F241</f>
        <v/>
      </c>
      <c r="H241" s="295">
        <f>H240+G241</f>
        <v/>
      </c>
    </row>
    <row r="242" ht="12" customHeight="1">
      <c r="A242" s="305">
        <f>A241+1</f>
        <v/>
      </c>
      <c r="B242" s="295">
        <f>(1+Parameter!$B$29*(A242-Parameter!$B$28))*Parameter!$B$30^(A242-Parameter!$B$28)</f>
        <v/>
      </c>
      <c r="C242" s="295">
        <f>IF(AND(A242&gt;='Stack-Planer'!$C$9,A242&lt;'Stack-Planer'!$C$9+'Stack-Planer'!$G$87),$D$123,1)</f>
        <v/>
      </c>
      <c r="D242" s="295">
        <f>B242*C242</f>
        <v/>
      </c>
      <c r="E242" s="295">
        <f>E241+D242</f>
        <v/>
      </c>
      <c r="F242" s="295">
        <f>IF(AND(A242&gt;='Stack-Planer'!$C$9,A242&lt;'Stack-Planer'!$C$9+'Stack-Planer'!$G$87),$D$124,1)</f>
        <v/>
      </c>
      <c r="G242" s="295">
        <f>B242*F242</f>
        <v/>
      </c>
      <c r="H242" s="295">
        <f>H241+G242</f>
        <v/>
      </c>
    </row>
    <row r="243" ht="12" customHeight="1">
      <c r="A243" s="305">
        <f>A242+1</f>
        <v/>
      </c>
      <c r="B243" s="295">
        <f>(1+Parameter!$B$29*(A243-Parameter!$B$28))*Parameter!$B$30^(A243-Parameter!$B$28)</f>
        <v/>
      </c>
      <c r="C243" s="295">
        <f>IF(AND(A243&gt;='Stack-Planer'!$C$9,A243&lt;'Stack-Planer'!$C$9+'Stack-Planer'!$G$87),$D$123,1)</f>
        <v/>
      </c>
      <c r="D243" s="295">
        <f>B243*C243</f>
        <v/>
      </c>
      <c r="E243" s="295">
        <f>E242+D243</f>
        <v/>
      </c>
      <c r="F243" s="295">
        <f>IF(AND(A243&gt;='Stack-Planer'!$C$9,A243&lt;'Stack-Planer'!$C$9+'Stack-Planer'!$G$87),$D$124,1)</f>
        <v/>
      </c>
      <c r="G243" s="295">
        <f>B243*F243</f>
        <v/>
      </c>
      <c r="H243" s="295">
        <f>H242+G243</f>
        <v/>
      </c>
    </row>
    <row r="244" ht="12" customHeight="1">
      <c r="A244" s="305">
        <f>A243+1</f>
        <v/>
      </c>
      <c r="B244" s="295">
        <f>(1+Parameter!$B$29*(A244-Parameter!$B$28))*Parameter!$B$30^(A244-Parameter!$B$28)</f>
        <v/>
      </c>
      <c r="C244" s="295">
        <f>IF(AND(A244&gt;='Stack-Planer'!$C$9,A244&lt;'Stack-Planer'!$C$9+'Stack-Planer'!$G$87),$D$123,1)</f>
        <v/>
      </c>
      <c r="D244" s="295">
        <f>B244*C244</f>
        <v/>
      </c>
      <c r="E244" s="295">
        <f>E243+D244</f>
        <v/>
      </c>
      <c r="F244" s="295">
        <f>IF(AND(A244&gt;='Stack-Planer'!$C$9,A244&lt;'Stack-Planer'!$C$9+'Stack-Planer'!$G$87),$D$124,1)</f>
        <v/>
      </c>
      <c r="G244" s="295">
        <f>B244*F244</f>
        <v/>
      </c>
      <c r="H244" s="295">
        <f>H243+G244</f>
        <v/>
      </c>
    </row>
    <row r="245"/>
    <row r="246"/>
    <row r="247"/>
    <row r="248"/>
    <row r="249">
      <c r="A249" s="197" t="inlineStr">
        <is>
          <t>Medikamenten- und Supplement-Matrix</t>
        </is>
      </c>
    </row>
    <row r="250" ht="28" customHeight="1">
      <c r="A250" s="205" t="inlineStr">
        <is>
          <t>Eine Zeile je GRUPPE, eine Spalte je Kategorie. Der Wert ist der Anteil der Maluspunkte DIESER Kategorie, den die Gruppe zurueckholt. Negativ heisst, sie macht dort etwas kaputt. Leer heisst kein nennenswerter Effekt.</t>
        </is>
      </c>
    </row>
    <row r="251" ht="28" customHeight="1">
      <c r="A251" s="205" t="inlineStr">
        <is>
          <t>WIE STARK eine Wirkung bei gutem Ausgangswert noch greift, steht im Block Kopplung weiter unten daneben. Beide Blaetter haben dieselbe Anordnung.</t>
        </is>
      </c>
    </row>
    <row r="252" ht="28" customHeight="1">
      <c r="A252" s="205" t="inlineStr">
        <is>
          <t>WIRKSTOFFKLASSE: Gruppen derselben Klasse addieren sich nicht - pro Kategorie zaehlt die staerkste. EVIDENZ: A = grosse Endpunktstudien, B = randomisiert auf Surrogatparameter, C = klein oder uebertragen.</t>
        </is>
      </c>
    </row>
    <row r="253"/>
    <row r="254" ht="179.4" customHeight="1">
      <c r="A254" s="198" t="inlineStr">
        <is>
          <t>Substanz</t>
        </is>
      </c>
      <c r="B254" s="216" t="inlineStr">
        <is>
          <t>Aromatase/E2</t>
        </is>
      </c>
      <c r="C254" s="216" t="inlineStr">
        <is>
          <t>5a-Reduktase</t>
        </is>
      </c>
      <c r="D254" s="216" t="inlineStr">
        <is>
          <t>Blutdruck/RAAS</t>
        </is>
      </c>
      <c r="E254" s="216" t="inlineStr">
        <is>
          <t>Blutfette-LDL</t>
        </is>
      </c>
      <c r="F254" s="216" t="inlineStr">
        <is>
          <t>Blutfette-HDL</t>
        </is>
      </c>
      <c r="G254" s="216" t="inlineStr">
        <is>
          <t>Blutfette-TG</t>
        </is>
      </c>
      <c r="H254" s="216" t="inlineStr">
        <is>
          <t>Blutfette-Lp(a)</t>
        </is>
      </c>
      <c r="I254" s="216" t="inlineStr">
        <is>
          <t>Gefaesse/Atherosklerose</t>
        </is>
      </c>
      <c r="J254" s="216" t="inlineStr">
        <is>
          <t>Gefaesswand/Aorta/Lunge</t>
        </is>
      </c>
      <c r="K254" s="216" t="inlineStr">
        <is>
          <t>Psyche</t>
        </is>
      </c>
      <c r="L254" s="216" t="inlineStr">
        <is>
          <t>Herzrhythmus</t>
        </is>
      </c>
      <c r="M254" s="216" t="inlineStr">
        <is>
          <t>Herzmuskel/Hypertrophie</t>
        </is>
      </c>
      <c r="N254" s="216" t="inlineStr">
        <is>
          <t>Thrombose/Blutgerinnung</t>
        </is>
      </c>
      <c r="O254" s="216" t="inlineStr">
        <is>
          <t>Haematokrit/Blutdicke</t>
        </is>
      </c>
      <c r="P254" s="216" t="inlineStr">
        <is>
          <t>Eisenstoffwechsel</t>
        </is>
      </c>
      <c r="Q254" s="216" t="inlineStr">
        <is>
          <t>Nierenfunktion</t>
        </is>
      </c>
      <c r="R254" s="216" t="inlineStr">
        <is>
          <t>Leber allgemein</t>
        </is>
      </c>
      <c r="S254" s="216" t="inlineStr">
        <is>
          <t>Leber: Reaktion auf Orale</t>
        </is>
      </c>
      <c r="T254" s="216" t="inlineStr">
        <is>
          <t>Glukosestoffwechsel</t>
        </is>
      </c>
      <c r="U254" s="216" t="inlineStr">
        <is>
          <t>Muskelaufbau</t>
        </is>
      </c>
      <c r="V254" s="216" t="inlineStr">
        <is>
          <t>Androgen-Abbau/Metabolismus</t>
        </is>
      </c>
      <c r="W254" s="216" t="inlineStr">
        <is>
          <t>Haarausfall (AGA)</t>
        </is>
      </c>
      <c r="X254" s="198" t="inlineStr">
        <is>
          <t>Wirkstoffklasse</t>
        </is>
      </c>
      <c r="Y254" s="198" t="inlineStr">
        <is>
          <t>Evidenz</t>
        </is>
      </c>
      <c r="Z254" s="198" t="inlineStr">
        <is>
          <t>Genotyp-Hinweise</t>
        </is>
      </c>
      <c r="AA254" s="198" t="inlineStr">
        <is>
          <t>Zielwert</t>
        </is>
      </c>
      <c r="AB254" s="198" t="inlineStr">
        <is>
          <t>Anmerkung</t>
        </is>
      </c>
    </row>
    <row r="255" ht="97.94827586206897" customHeight="1">
      <c r="A255" s="207" t="inlineStr">
        <is>
          <t>Statin</t>
        </is>
      </c>
      <c r="B255" s="212" t="n"/>
      <c r="C255" s="212" t="n"/>
      <c r="D255" s="212" t="n"/>
      <c r="E255" s="213" t="n">
        <v>0.6</v>
      </c>
      <c r="F255" s="212" t="n"/>
      <c r="G255" s="212" t="n"/>
      <c r="H255" s="212" t="n"/>
      <c r="I255" s="213" t="n">
        <v>0.35</v>
      </c>
      <c r="J255" s="212" t="n"/>
      <c r="K255" s="212" t="n"/>
      <c r="L255" s="212" t="n"/>
      <c r="M255" s="212" t="n"/>
      <c r="N255" s="212" t="n"/>
      <c r="O255" s="212" t="n"/>
      <c r="P255" s="212" t="n"/>
      <c r="Q255" s="212" t="n"/>
      <c r="R255" s="212" t="n"/>
      <c r="S255" s="212" t="n"/>
      <c r="T255" s="214" t="n">
        <v>-0.08</v>
      </c>
      <c r="U255" s="212" t="n"/>
      <c r="V255" s="212" t="n"/>
      <c r="W255" s="212" t="n"/>
      <c r="X255" s="209" t="inlineStr">
        <is>
          <t>Statin/PCSK9</t>
        </is>
      </c>
      <c r="Y255" s="209" t="inlineStr">
        <is>
          <t>A</t>
        </is>
      </c>
      <c r="Z255" s="209" t="inlineStr">
        <is>
          <t>rs4149056: SLCO1B1-Treffer - kein Simvastatin. Rosuvastatin und Pravastatin gehen weniger ueber OATP1B1, Bempedoinsaeure ganz daran vorbei.; rs12916: HMGCR ist der Angriffspunkt des Statins selbst.; rs429358: APOE4-Treffer - Statine wirken, reine Ernaehrungsumstellung wirkt schlechter.</t>
        </is>
      </c>
      <c r="AA255" s="209" t="inlineStr">
        <is>
          <t>LDL unter 1,8 mmol/l (70 mg/dl). Non-Responder gibt es wirklich - ohne Kontrollwert nach 6 bis 8 Wochen sind diese Punkte nur eine Annahme.</t>
        </is>
      </c>
      <c r="AB255" s="209" t="inlineStr">
        <is>
          <t>BESONDERHEITEN: Rosuvastatin und Atorvastatin sind die potentesten, Pravastatin das vertraeglichste bei Muskelproblemen, Simvastatin das mit dem hoechsten Myopathierisiko. Monacolin K aus rotem Reis IST Lovastatin - nie zusaetzlich zu einem verschriebenen Statin. KOPPLUNG: auch der Plaque-Nutzen haengt am LDL, nur rund 10 Prozent laufen ueber die pleiotropen Effekte. Bei LDL unter 1,7 bringt ein Statin deshalb praktisch nichts mehr.</t>
        </is>
      </c>
    </row>
    <row r="256" ht="61.06896551724138" customHeight="1">
      <c r="A256" s="207" t="inlineStr">
        <is>
          <t>Ezetimib</t>
        </is>
      </c>
      <c r="B256" s="212" t="n"/>
      <c r="C256" s="212" t="n"/>
      <c r="D256" s="212" t="n"/>
      <c r="E256" s="213" t="n">
        <v>0.2</v>
      </c>
      <c r="F256" s="212" t="n"/>
      <c r="G256" s="212" t="n"/>
      <c r="H256" s="212" t="n"/>
      <c r="I256" s="213" t="n">
        <v>0.12</v>
      </c>
      <c r="J256" s="212" t="n"/>
      <c r="K256" s="212" t="n"/>
      <c r="L256" s="212" t="n"/>
      <c r="M256" s="212" t="n"/>
      <c r="N256" s="212" t="n"/>
      <c r="O256" s="212" t="n"/>
      <c r="P256" s="212" t="n"/>
      <c r="Q256" s="212" t="n"/>
      <c r="R256" s="212" t="n"/>
      <c r="S256" s="212" t="n"/>
      <c r="T256" s="212" t="n"/>
      <c r="U256" s="212" t="n"/>
      <c r="V256" s="212" t="n"/>
      <c r="W256" s="212" t="n"/>
      <c r="X256" s="209" t="inlineStr">
        <is>
          <t>Cholesterin-Resorptionshemmer</t>
        </is>
      </c>
      <c r="Y256" s="209" t="inlineStr">
        <is>
          <t>A</t>
        </is>
      </c>
      <c r="Z256" s="209" t="inlineStr">
        <is>
          <t>rs4245791: ABCG8-Treffer - deutet auf die Aufnahmeseite, hier bringt Ezetimib mehr als die naechste Statin-Dosisverdopplung.; rs217385: NPC1L1 ist der Transporter, den Ezetimib blockiert.; rs217386: NPC1L1 ist der Transporter, den Ezetimib blockiert.</t>
        </is>
      </c>
      <c r="AA256" s="209" t="inlineStr">
        <is>
          <t>LDL unter 1,8 mmol/l, meist erst zusammen mit einem Statin erreichbar.</t>
        </is>
      </c>
      <c r="AB256" s="209" t="inlineStr">
        <is>
          <t>Rund 20 Prozent LDL-Senkung auf der Aufnahmeseite statt der Syntheseseite. KOPPLUNG: wirkt ausschliesslich ueber das LDL, deshalb Rest 0 in beiden Kategorien - IMPROVE-IT zeigte den Nutzen exakt proportional zur erreichten LDL-Senkung.</t>
        </is>
      </c>
    </row>
    <row r="257" ht="51.55172413793103" customHeight="1">
      <c r="A257" s="207" t="inlineStr">
        <is>
          <t>Bempedoinsaeure</t>
        </is>
      </c>
      <c r="B257" s="212" t="n"/>
      <c r="C257" s="212" t="n"/>
      <c r="D257" s="212" t="n"/>
      <c r="E257" s="213" t="n">
        <v>0.22</v>
      </c>
      <c r="F257" s="212" t="n"/>
      <c r="G257" s="212" t="n"/>
      <c r="H257" s="212" t="n"/>
      <c r="I257" s="213" t="n">
        <v>0.12</v>
      </c>
      <c r="J257" s="212" t="n"/>
      <c r="K257" s="212" t="n"/>
      <c r="L257" s="212" t="n"/>
      <c r="M257" s="212" t="n"/>
      <c r="N257" s="212" t="n"/>
      <c r="O257" s="212" t="n"/>
      <c r="P257" s="212" t="n"/>
      <c r="Q257" s="212" t="n"/>
      <c r="R257" s="212" t="n"/>
      <c r="S257" s="212" t="n"/>
      <c r="T257" s="212" t="n"/>
      <c r="U257" s="212" t="n"/>
      <c r="V257" s="212" t="n"/>
      <c r="W257" s="212" t="n"/>
      <c r="X257" s="209" t="inlineStr">
        <is>
          <t>ACL-Hemmer</t>
        </is>
      </c>
      <c r="Y257" s="209" t="inlineStr">
        <is>
          <t>B</t>
        </is>
      </c>
      <c r="Z257" s="209" t="inlineStr">
        <is>
          <t>rs4149056: SLCO1B1-Treffer - genau der Fall, fuer den dieser Wirkstoff gemacht ist.</t>
        </is>
      </c>
      <c r="AA257" s="209" t="inlineStr">
        <is>
          <t>LDL unter 1,8 mmol/l.</t>
        </is>
      </c>
      <c r="AB257" s="209" t="inlineStr">
        <is>
          <t>BESONDERHEIT: wird erst in der Leber aktiviert und erreicht den Muskel praktisch nicht. Damit faellt die Myopathie weg - fuer jemanden, der schwer trainiert, der eigentliche Punkt gegenueber dem Statin.</t>
        </is>
      </c>
    </row>
    <row r="258" ht="49.76724137931034" customHeight="1">
      <c r="A258" s="207" t="inlineStr">
        <is>
          <t>PCSK9-Hemmer oder Inclisiran</t>
        </is>
      </c>
      <c r="B258" s="212" t="n"/>
      <c r="C258" s="212" t="n"/>
      <c r="D258" s="212" t="n"/>
      <c r="E258" s="213" t="n">
        <v>0.6</v>
      </c>
      <c r="F258" s="212" t="n"/>
      <c r="G258" s="212" t="n"/>
      <c r="H258" s="213" t="n">
        <v>0.22</v>
      </c>
      <c r="I258" s="213" t="n">
        <v>0.4</v>
      </c>
      <c r="J258" s="212" t="n"/>
      <c r="K258" s="212" t="n"/>
      <c r="L258" s="212" t="n"/>
      <c r="M258" s="212" t="n"/>
      <c r="N258" s="212" t="n"/>
      <c r="O258" s="212" t="n"/>
      <c r="P258" s="212" t="n"/>
      <c r="Q258" s="212" t="n"/>
      <c r="R258" s="212" t="n"/>
      <c r="S258" s="212" t="n"/>
      <c r="T258" s="212" t="n"/>
      <c r="U258" s="212" t="n"/>
      <c r="V258" s="212" t="n"/>
      <c r="W258" s="212" t="n"/>
      <c r="X258" s="209" t="inlineStr">
        <is>
          <t>Statin/PCSK9</t>
        </is>
      </c>
      <c r="Y258" s="209" t="inlineStr">
        <is>
          <t>A</t>
        </is>
      </c>
      <c r="Z258" s="209" t="inlineStr">
        <is>
          <t>rs10455872: LPA-Treffer - ausser PCSK9-Hemmern und Apherese gibt es dafuer heute nichts.; rs3798220: LPA-Treffer, siehe oben.; rs11591147: PCSK9-Variante im Zielprotein selbst.</t>
        </is>
      </c>
      <c r="AA258" s="209" t="inlineStr">
        <is>
          <t>LDL unter 1,4 mmol/l. Lp(a) sinkt nur um 20 bis 25 Prozent - ein hoher Ausgangswert bleibt auch danach hoch.</t>
        </is>
      </c>
      <c r="AB258" s="209" t="inlineStr">
        <is>
          <t>PCSK9-Hemmer senken zusaetzlich Lp(a) - das kann sonst nichts auf diesem Blatt. Wegen der Kosten werden sie aber nur an Statin-Nonresponder oder bei Unvertraeglichkeit verschrieben; rund 95 Prozent bekommen ein Statin und sonst nichts. Deshalb steht der PCSK9-Hemmer hier in derselben Klasse wie das Statin: Es zaehlt der staerkere von beiden, nicht beide zusammen. BESONDERHEIT: derzeit das einzige Mittel, das Lp(a) ueberhaupt senkt. KOPPLUNG: die Lp(a)-Wirkung ist entkoppelt, weil es fuer Lp(a) keinen Eingabewert gibt - sie bleibt also immer voll stehen.</t>
        </is>
      </c>
    </row>
    <row r="259" ht="89.62068965517241" customHeight="1">
      <c r="A259" s="207" t="inlineStr">
        <is>
          <t>Sartan (ARB)</t>
        </is>
      </c>
      <c r="B259" s="212" t="n"/>
      <c r="C259" s="212" t="n"/>
      <c r="D259" s="213" t="n">
        <v>0.55</v>
      </c>
      <c r="E259" s="212" t="n"/>
      <c r="F259" s="212" t="n"/>
      <c r="G259" s="212" t="n"/>
      <c r="H259" s="212" t="n"/>
      <c r="I259" s="212" t="n"/>
      <c r="J259" s="212" t="n">
        <v>0.25</v>
      </c>
      <c r="K259" s="212" t="n"/>
      <c r="L259" s="212" t="n"/>
      <c r="M259" s="213" t="n">
        <v>0.35</v>
      </c>
      <c r="N259" s="212" t="n"/>
      <c r="O259" s="212" t="n"/>
      <c r="P259" s="212" t="n"/>
      <c r="Q259" s="213" t="n">
        <v>0.2</v>
      </c>
      <c r="R259" s="212" t="n"/>
      <c r="S259" s="212" t="n"/>
      <c r="T259" s="212" t="n"/>
      <c r="U259" s="212" t="n"/>
      <c r="V259" s="212" t="n"/>
      <c r="W259" s="212" t="n"/>
      <c r="X259" s="209" t="inlineStr">
        <is>
          <t>RAAS-Blocker</t>
        </is>
      </c>
      <c r="Y259" s="209" t="inlineStr">
        <is>
          <t>A</t>
        </is>
      </c>
      <c r="Z259" s="209" t="inlineStr">
        <is>
          <t>rs5186: AGTR1 ist der Rezeptor, den das Sartan blockiert.; rs699: AGT, der Startpunkt derselben Kaskade.</t>
        </is>
      </c>
      <c r="AA259" s="209" t="inlineStr">
        <is>
          <t>Blutdruck unter 130/80 in Ruhe, an mehreren Tagen gemessen, nicht direkt nach dem Training.</t>
        </is>
      </c>
      <c r="AB259" s="209" t="inlineStr">
        <is>
          <t>BESONDERHEIT TELMISARTAN: partielle PPAR-gamma-Aktivitaet, daher ein kleiner Stoffwechselbonus, den die anderen Sartane nicht haben, dazu 24 Stunden Wirkdauer. KOPPLUNG: am Herzmuskel bleibt die Haelfte auch bei gutem Blutdruck stehen - die Massenreduktion geht nachweislich ueber den reinen Druckeffekt hinaus. Die Niere ist ganz entkoppelt, die Nierenprotektion haengt nicht am Ausgangsdruck.</t>
        </is>
      </c>
    </row>
    <row r="260" ht="103.8965517241379" customHeight="1">
      <c r="A260" s="207" t="inlineStr">
        <is>
          <t>ACE-Hemmer</t>
        </is>
      </c>
      <c r="B260" s="212" t="n"/>
      <c r="C260" s="212" t="n"/>
      <c r="D260" s="213" t="n">
        <v>0.52</v>
      </c>
      <c r="E260" s="212" t="n"/>
      <c r="F260" s="212" t="n"/>
      <c r="G260" s="212" t="n"/>
      <c r="H260" s="212" t="n"/>
      <c r="I260" s="212" t="n"/>
      <c r="J260" s="212" t="n">
        <v>0.2</v>
      </c>
      <c r="K260" s="212" t="n"/>
      <c r="L260" s="212" t="n"/>
      <c r="M260" s="213" t="n">
        <v>0.3</v>
      </c>
      <c r="N260" s="212" t="n"/>
      <c r="O260" s="212" t="n"/>
      <c r="P260" s="212" t="n"/>
      <c r="Q260" s="213" t="n">
        <v>0.2</v>
      </c>
      <c r="R260" s="212" t="n"/>
      <c r="S260" s="212" t="n"/>
      <c r="T260" s="212" t="n"/>
      <c r="U260" s="212" t="n"/>
      <c r="V260" s="212" t="n"/>
      <c r="W260" s="212" t="n"/>
      <c r="X260" s="209" t="inlineStr">
        <is>
          <t>RAAS-Blocker</t>
        </is>
      </c>
      <c r="Y260" s="209" t="inlineStr">
        <is>
          <t>A</t>
        </is>
      </c>
      <c r="Z260" s="209" t="inlineStr">
        <is>
          <t>rs4343: ACE ist das Enzym, das der Hemmer blockiert.</t>
        </is>
      </c>
      <c r="AA260" s="209" t="inlineStr">
        <is>
          <t>Blutdruck unter 130/80 in Ruhe.</t>
        </is>
      </c>
      <c r="AB260" s="209" t="inlineStr">
        <is>
          <t>Gleiche Kaskade wie das Sartan, eine Stufe frueher. Reizhusten ist der haeufigste Wechselgrund. ZUR NIERE: ACE-Hemmer sind entgegen einer verbreiteten Annahme genauso nierenprotektiv wie Sartane - das ist eine der am besten belegten Indikationen ueberhaupt (Captopril-Studie, REIN, AIPRI), und die Leitlinien fuehren beide Klassen dafuer gleichwertig. Der Unterschied liegt bei Husten und Angiooedem, nicht an der Niere. Deshalb hier dieselben Werte wie beim Sartan.</t>
        </is>
      </c>
    </row>
    <row r="261" ht="85.85344827586206" customHeight="1">
      <c r="A261" s="207" t="inlineStr">
        <is>
          <t>Amlodipin (Calciumantagonist)</t>
        </is>
      </c>
      <c r="B261" s="212" t="n"/>
      <c r="C261" s="212" t="n"/>
      <c r="D261" s="213" t="n">
        <v>0.5</v>
      </c>
      <c r="E261" s="212" t="n"/>
      <c r="F261" s="212" t="n"/>
      <c r="G261" s="212" t="n"/>
      <c r="H261" s="212" t="n"/>
      <c r="I261" s="213" t="n">
        <v>0.2</v>
      </c>
      <c r="J261" s="212" t="n">
        <v>0.2</v>
      </c>
      <c r="K261" s="212" t="n"/>
      <c r="L261" s="212" t="n"/>
      <c r="M261" s="213" t="n">
        <v>0.2</v>
      </c>
      <c r="N261" s="212" t="n"/>
      <c r="O261" s="212" t="n"/>
      <c r="P261" s="212" t="n"/>
      <c r="Q261" s="212" t="n"/>
      <c r="R261" s="212" t="n"/>
      <c r="S261" s="212" t="n"/>
      <c r="T261" s="212" t="n"/>
      <c r="U261" s="212" t="n"/>
      <c r="V261" s="212" t="n"/>
      <c r="W261" s="212" t="n"/>
      <c r="X261" s="209" t="inlineStr">
        <is>
          <t>Calciumantagonist</t>
        </is>
      </c>
      <c r="Y261" s="209" t="inlineStr">
        <is>
          <t>A</t>
        </is>
      </c>
      <c r="Z261" s="209" t="n"/>
      <c r="AA261" s="209" t="inlineStr">
        <is>
          <t>Blutdruck unter 130/80 in Ruhe.</t>
        </is>
      </c>
      <c r="AB261" s="209" t="inlineStr">
        <is>
          <t>Senkt zentralen Druck und Gefaesssteifigkeit, entlastet also die Aortenwand. ACHTUNG BEI BINDEGEWEBSSCHWAECHE: bei Marfan gibt es Daten, nach denen Calciumantagonisten Aneurysma und Dissektion eher verschlechtern. Wer eine bekannte Bindegewebserkrankung oder eine erweiterte Aortenwurzel hat, klaert das vor der Einnahme ab.</t>
        </is>
      </c>
    </row>
    <row r="262" ht="52.14655172413793" customHeight="1">
      <c r="A262" s="207" t="inlineStr">
        <is>
          <t>Nebivolol (Betablocker)</t>
        </is>
      </c>
      <c r="B262" s="212" t="n"/>
      <c r="C262" s="212" t="n"/>
      <c r="D262" s="213" t="n">
        <v>0.4</v>
      </c>
      <c r="E262" s="212" t="n"/>
      <c r="F262" s="212" t="n"/>
      <c r="G262" s="212" t="n"/>
      <c r="H262" s="212" t="n"/>
      <c r="I262" s="212" t="n"/>
      <c r="J262" s="212" t="n">
        <v>0.25</v>
      </c>
      <c r="K262" s="212" t="n"/>
      <c r="L262" s="213" t="n">
        <v>0.3</v>
      </c>
      <c r="M262" s="213" t="n">
        <v>0.15</v>
      </c>
      <c r="N262" s="212" t="n"/>
      <c r="O262" s="212" t="n"/>
      <c r="P262" s="212" t="n"/>
      <c r="Q262" s="212" t="n"/>
      <c r="R262" s="212" t="n"/>
      <c r="S262" s="212" t="n"/>
      <c r="T262" s="212" t="n"/>
      <c r="U262" s="212" t="n"/>
      <c r="V262" s="212" t="n"/>
      <c r="W262" s="212" t="n"/>
      <c r="X262" s="209" t="inlineStr">
        <is>
          <t>Betablocker</t>
        </is>
      </c>
      <c r="Y262" s="209" t="inlineStr">
        <is>
          <t>B</t>
        </is>
      </c>
      <c r="Z262" s="209" t="n"/>
      <c r="AA262" s="209" t="inlineStr">
        <is>
          <t>Blutdruck unter 130/80, Ruhepuls im Zielbereich.</t>
        </is>
      </c>
      <c r="AB262" s="209" t="inlineStr">
        <is>
          <t>Der Betablocker mit NO-vermittelter Gefaesserweiterung und dem geringsten Einfluss auf die Blutfette. KOPPLUNG: die Rhythmuswirkung ist entkoppelt - die Frequenzkontrolle haengt nicht am Ausgangsblutdruck.</t>
        </is>
      </c>
    </row>
    <row r="263" ht="43.62068965517241" customHeight="1">
      <c r="A263" s="207" t="inlineStr">
        <is>
          <t>Tadalafil niedrig dosiert</t>
        </is>
      </c>
      <c r="B263" s="212" t="n"/>
      <c r="C263" s="212" t="n"/>
      <c r="D263" s="213" t="n">
        <v>0.15</v>
      </c>
      <c r="E263" s="212" t="n"/>
      <c r="F263" s="212" t="n"/>
      <c r="G263" s="212" t="n"/>
      <c r="H263" s="212" t="n"/>
      <c r="I263" s="213" t="n">
        <v>0.1</v>
      </c>
      <c r="J263" s="212" t="n"/>
      <c r="K263" s="212" t="n"/>
      <c r="L263" s="212" t="n"/>
      <c r="M263" s="213" t="n">
        <v>0.1</v>
      </c>
      <c r="N263" s="212" t="n"/>
      <c r="O263" s="212" t="n"/>
      <c r="P263" s="212" t="n"/>
      <c r="Q263" s="212" t="n"/>
      <c r="R263" s="212" t="n"/>
      <c r="S263" s="212" t="n"/>
      <c r="T263" s="212" t="n"/>
      <c r="U263" s="212" t="n"/>
      <c r="V263" s="212" t="n"/>
      <c r="W263" s="212" t="n"/>
      <c r="X263" s="209" t="inlineStr">
        <is>
          <t>PDE5-Hemmer</t>
        </is>
      </c>
      <c r="Y263" s="209" t="inlineStr">
        <is>
          <t>C</t>
        </is>
      </c>
      <c r="Z263" s="209" t="n"/>
      <c r="AA263" s="209" t="inlineStr">
        <is>
          <t>Blutdruck unter 130/80. Als alleinige Massnahme reicht es dafuer selten.</t>
        </is>
      </c>
      <c r="AB263" s="209" t="inlineStr">
        <is>
          <t>Taeglich niedrig dosiert verbessert es die Endothelfunktion und senkt den Blutdruck leicht. Die Daten zur Hypertrophie stammen aus kleinen Studien, daher Stufe C.</t>
        </is>
      </c>
    </row>
    <row r="264" ht="47.58620689655172" customHeight="1">
      <c r="A264" s="207" t="inlineStr">
        <is>
          <t>Blutspende oder Aderlass</t>
        </is>
      </c>
      <c r="B264" s="212" t="n"/>
      <c r="C264" s="212" t="n"/>
      <c r="D264" s="212" t="n"/>
      <c r="E264" s="212" t="n"/>
      <c r="F264" s="212" t="n"/>
      <c r="G264" s="212" t="n"/>
      <c r="H264" s="212" t="n"/>
      <c r="I264" s="212" t="n"/>
      <c r="J264" s="212" t="n"/>
      <c r="K264" s="212" t="n"/>
      <c r="L264" s="212" t="n"/>
      <c r="M264" s="212" t="n"/>
      <c r="N264" s="212" t="n"/>
      <c r="O264" s="213" t="n">
        <v>1</v>
      </c>
      <c r="P264" s="214" t="n">
        <v>-0.25</v>
      </c>
      <c r="Q264" s="212" t="n"/>
      <c r="R264" s="212" t="n"/>
      <c r="S264" s="212" t="n"/>
      <c r="T264" s="212" t="n"/>
      <c r="U264" s="212" t="n"/>
      <c r="V264" s="212" t="n"/>
      <c r="W264" s="212" t="n"/>
      <c r="X264" s="209" t="inlineStr">
        <is>
          <t>Aderlass</t>
        </is>
      </c>
      <c r="Y264" s="209" t="inlineStr">
        <is>
          <t>B</t>
        </is>
      </c>
      <c r="Z264" s="209" t="inlineStr">
        <is>
          <t>rs1800562: HFE C282Y-Treffer - hier ist der Eisenverlust kein Nachteil, sondern gerade erwuenscht.; rs1799945: HFE H63D-Treffer - Ferritin und Transferrinsaettigung mitlaufen lassen.</t>
        </is>
      </c>
      <c r="AA264" s="209" t="inlineStr">
        <is>
          <t>Haematokrit unter 47 Prozent, dabei Ferritin nicht unter 30.</t>
        </is>
      </c>
      <c r="AB264" s="209" t="inlineStr">
        <is>
          <t>Die direkteste und billigste Massnahme ueberhaupt. KOPPLUNG: Rest 0 - bei einem Haematokrit von 44 gibt es schlicht nichts abzulassen.</t>
        </is>
      </c>
    </row>
    <row r="265" ht="88.43103448275862" customHeight="1">
      <c r="A265" s="207" t="inlineStr">
        <is>
          <t>SGLT2-Hemmer</t>
        </is>
      </c>
      <c r="B265" s="212" t="n"/>
      <c r="C265" s="212" t="n"/>
      <c r="D265" s="213" t="n">
        <v>0.2</v>
      </c>
      <c r="E265" s="212" t="n"/>
      <c r="F265" s="212" t="n"/>
      <c r="G265" s="212" t="n"/>
      <c r="H265" s="212" t="n"/>
      <c r="I265" s="212" t="n"/>
      <c r="J265" s="212" t="n"/>
      <c r="K265" s="212" t="n"/>
      <c r="L265" s="212" t="n"/>
      <c r="M265" s="213" t="n">
        <v>0.2</v>
      </c>
      <c r="N265" s="212" t="n"/>
      <c r="O265" s="214" t="n">
        <v>-0.35</v>
      </c>
      <c r="P265" s="212" t="n"/>
      <c r="Q265" s="213" t="n">
        <v>0.3</v>
      </c>
      <c r="R265" s="212" t="n"/>
      <c r="S265" s="212" t="n"/>
      <c r="T265" s="213" t="n">
        <v>0.35</v>
      </c>
      <c r="U265" s="212" t="n"/>
      <c r="V265" s="212" t="n"/>
      <c r="W265" s="212" t="n"/>
      <c r="X265" s="209" t="inlineStr">
        <is>
          <t>SGLT2</t>
        </is>
      </c>
      <c r="Y265" s="209" t="inlineStr">
        <is>
          <t>A</t>
        </is>
      </c>
      <c r="Z265" s="209" t="n"/>
      <c r="AA265" s="209" t="inlineStr">
        <is>
          <t>Nuechternglukose unter 93 mg/dl bzw. HbA1c unter 5,7. Haematokrit gegenchecken, er steigt unter SGLT2.</t>
        </is>
      </c>
      <c r="AB265" s="209" t="inlineStr">
        <is>
          <t>BESONDERHEIT: hebt den Haematokrit um 2 bis 4 Prozentpunkte - auf Kur die falsche Richtung, deshalb die Minuszeile. KOPPLUNG: Niere und Herzmuskel sind ENTKOPPELT. Der Nutzen bei Herzinsuffizienz und Nierenerkrankung ist in DAPA-HF, EMPEROR, DAPA-CKD und EMPA-KIDNEY auch bei Menschen ohne Diabetes belegt - er haengt also nicht am Blutzucker. Nur die Glukosewirkung selbst ist gekoppelt.</t>
        </is>
      </c>
    </row>
    <row r="266" ht="90.61206896551724" customHeight="1">
      <c r="A266" s="207" t="inlineStr">
        <is>
          <t>GLP-1- oder GLP-1/GIP-Agonist</t>
        </is>
      </c>
      <c r="B266" s="212" t="n"/>
      <c r="C266" s="212" t="n"/>
      <c r="D266" s="213" t="n">
        <v>0.2</v>
      </c>
      <c r="E266" s="212" t="n"/>
      <c r="F266" s="213" t="n">
        <v>0.1</v>
      </c>
      <c r="G266" s="213" t="n">
        <v>0.3</v>
      </c>
      <c r="H266" s="212" t="n"/>
      <c r="I266" s="213" t="n">
        <v>0.15</v>
      </c>
      <c r="J266" s="212" t="n"/>
      <c r="K266" s="212" t="n"/>
      <c r="L266" s="212" t="n"/>
      <c r="M266" s="212" t="n"/>
      <c r="N266" s="212" t="n"/>
      <c r="O266" s="212" t="n"/>
      <c r="P266" s="212" t="n"/>
      <c r="Q266" s="212" t="n"/>
      <c r="R266" s="213" t="n">
        <v>0.38</v>
      </c>
      <c r="S266" s="212" t="n"/>
      <c r="T266" s="213" t="n">
        <v>0.5</v>
      </c>
      <c r="U266" s="214" t="n">
        <v>-0.15</v>
      </c>
      <c r="V266" s="212" t="n"/>
      <c r="W266" s="212" t="n"/>
      <c r="X266" s="209" t="inlineStr">
        <is>
          <t>Inkretin</t>
        </is>
      </c>
      <c r="Y266" s="209" t="inlineStr">
        <is>
          <t>A</t>
        </is>
      </c>
      <c r="Z266" s="209" t="n"/>
      <c r="AA266" s="209" t="inlineStr">
        <is>
          <t>Nuechternglukose unter 93 mg/dl, Triglyzeride unter 1,2 mmol/l.</t>
        </is>
      </c>
      <c r="AB266" s="209" t="inlineStr">
        <is>
          <t>BESONDERHEITEN: Tirzepatid staerker als Semaglutid, Retatrutid nochmal staerker, aber noch nicht zugelassen. Im Defizit geht Magermasse mit runter. KOPPLUNG: bei normalem Blutzucker faellt die Glukosewirkung weg, die Leberwirkung nicht - die Reduktion des Leberfetts laeuft ueber den Gewichtsverlust. Der Gefaessnutzen bleibt zu 60 Prozent stehen, in SELECT profitierten auch Menschen ohne Diabetes.</t>
        </is>
      </c>
    </row>
    <row r="267" ht="53.53448275862068" customHeight="1">
      <c r="A267" s="207" t="inlineStr">
        <is>
          <t>Berberin oder Metformin</t>
        </is>
      </c>
      <c r="B267" s="212" t="n"/>
      <c r="C267" s="212" t="n"/>
      <c r="D267" s="212" t="n"/>
      <c r="E267" s="213" t="n">
        <v>0.1</v>
      </c>
      <c r="F267" s="212" t="n"/>
      <c r="G267" s="213" t="n">
        <v>0.08</v>
      </c>
      <c r="H267" s="212" t="n"/>
      <c r="I267" s="212" t="n"/>
      <c r="J267" s="212" t="n"/>
      <c r="K267" s="212" t="n"/>
      <c r="L267" s="212" t="n"/>
      <c r="M267" s="212" t="n"/>
      <c r="N267" s="212" t="n"/>
      <c r="O267" s="212" t="n"/>
      <c r="P267" s="212" t="n"/>
      <c r="Q267" s="212" t="n"/>
      <c r="R267" s="213" t="n">
        <v>0.08</v>
      </c>
      <c r="S267" s="212" t="n"/>
      <c r="T267" s="213" t="n">
        <v>0.28</v>
      </c>
      <c r="U267" s="212" t="n"/>
      <c r="V267" s="212" t="n"/>
      <c r="W267" s="212" t="n"/>
      <c r="X267" s="209" t="inlineStr">
        <is>
          <t>Insulinsensitizer</t>
        </is>
      </c>
      <c r="Y267" s="209" t="inlineStr">
        <is>
          <t>B</t>
        </is>
      </c>
      <c r="Z267" s="209" t="n"/>
      <c r="AA267" s="209" t="inlineStr">
        <is>
          <t>Nuechternglukose unter 93 mg/dl.</t>
        </is>
      </c>
      <c r="AB267" s="209" t="inlineStr">
        <is>
          <t>BESONDERHEITEN: Berberin ist frei verkaeuflich und in der Szene Standard, die Datenlage besteht aber ueberwiegend aus kleinen, methodisch schwachen Studien. Metformin ist gut belegt, gilt hier aber als oldschool.</t>
        </is>
      </c>
    </row>
    <row r="268" ht="66.81896551724138" customHeight="1">
      <c r="A268" s="207" t="inlineStr">
        <is>
          <t>Omega-3 hochdosiert</t>
        </is>
      </c>
      <c r="B268" s="212" t="n"/>
      <c r="C268" s="212" t="n"/>
      <c r="D268" s="212" t="n"/>
      <c r="E268" s="212" t="n"/>
      <c r="F268" s="212" t="n"/>
      <c r="G268" s="213" t="n">
        <v>0.32</v>
      </c>
      <c r="H268" s="212" t="n"/>
      <c r="I268" s="213" t="n">
        <v>0.06</v>
      </c>
      <c r="J268" s="212" t="n"/>
      <c r="K268" s="212" t="n">
        <v>0.15</v>
      </c>
      <c r="L268" s="212" t="n"/>
      <c r="M268" s="212" t="n"/>
      <c r="N268" s="212" t="n"/>
      <c r="O268" s="212" t="n"/>
      <c r="P268" s="212" t="n"/>
      <c r="Q268" s="212" t="n"/>
      <c r="R268" s="212" t="n"/>
      <c r="S268" s="212" t="n"/>
      <c r="T268" s="212" t="n"/>
      <c r="U268" s="212" t="n"/>
      <c r="V268" s="212" t="n"/>
      <c r="W268" s="212" t="n"/>
      <c r="X268" s="209" t="inlineStr">
        <is>
          <t>Omega-3</t>
        </is>
      </c>
      <c r="Y268" s="209" t="inlineStr">
        <is>
          <t>A</t>
        </is>
      </c>
      <c r="Z268" s="209" t="n"/>
      <c r="AA268" s="209" t="inlineStr">
        <is>
          <t>Triglyzeride unter 1,2 mmol/l.</t>
        </is>
      </c>
      <c r="AB268" s="209" t="inlineStr">
        <is>
          <t>BESONDERHEIT: reines EPA (Icosapent Ethyl) hebt das LDL nicht an und ist das einzige Omega-3-Praeparat mit positiver Endpunktstudie. KOPPLUNG: der Gefaessnutzen aus REDUCE-IT liess sich nur zum Teil ueber die Triglyzeridsenkung erklaeren, deshalb bleibt er weitgehend entkoppelt.</t>
        </is>
      </c>
    </row>
    <row r="269" ht="95.17241379310343" customHeight="1">
      <c r="A269" s="207" t="inlineStr">
        <is>
          <t>OTC-Stack komplett</t>
        </is>
      </c>
      <c r="B269" s="212" t="n"/>
      <c r="C269" s="212" t="n"/>
      <c r="D269" s="213" t="n">
        <v>0.15</v>
      </c>
      <c r="E269" s="213" t="n">
        <v>0.3</v>
      </c>
      <c r="F269" s="213" t="n">
        <v>0.2</v>
      </c>
      <c r="G269" s="213" t="n">
        <v>0.35</v>
      </c>
      <c r="H269" s="212" t="n"/>
      <c r="I269" s="212" t="n"/>
      <c r="J269" s="212" t="n"/>
      <c r="K269" s="212" t="n">
        <v>0.1</v>
      </c>
      <c r="L269" s="212" t="n"/>
      <c r="M269" s="212" t="n"/>
      <c r="N269" s="212" t="n"/>
      <c r="O269" s="212" t="n"/>
      <c r="P269" s="212" t="n"/>
      <c r="Q269" s="212" t="n"/>
      <c r="R269" s="213" t="n">
        <v>0.2</v>
      </c>
      <c r="S269" s="212" t="n"/>
      <c r="T269" s="213" t="n">
        <v>0.25</v>
      </c>
      <c r="U269" s="212" t="n"/>
      <c r="V269" s="212" t="n"/>
      <c r="W269" s="212" t="n"/>
      <c r="X269" s="209" t="inlineStr">
        <is>
          <t>OTC-Stack</t>
        </is>
      </c>
      <c r="Y269" s="209" t="inlineStr">
        <is>
          <t>B/C</t>
        </is>
      </c>
      <c r="Z269" s="209" t="inlineStr">
        <is>
          <t>rs4149056: SLCO1B1-Treffer - gilt auch fuer Monacolin K, das ist pharmakologisch ein Statin.</t>
        </is>
      </c>
      <c r="AA269" s="209" t="inlineStr">
        <is>
          <t>LDL unter 2,5 und Triglyzeride unter 1,2 mmol/l. Schafft der Stack das nicht, ist es ein Fall fuer ein Statin - nicht fuer die naechste Dose.</t>
        </is>
      </c>
      <c r="AB269" s="209" t="inlineStr">
        <is>
          <t>ENTHAELT: Citrus-Bergamotte und Monacolin K auf LDL und HDL, hochdosiertes Omega-3 auf die Triglyzeride, Berberin auf die Glukose, L-Citrullin, Nitrat, Kalium und Taurin auf den Blutdruck, TUDCA und NAC auf die Leber. WER DIE EINZELPOSTEN SCHON ANGEHAKT HAT, HAKT DEN STACK NICHT ZUSAETZLICH AN. Monacolin K IST Lovastatin: nie zusaetzlich zu einem Statin, in der EU seit 2022 unter 3 mg begrenzt, Verbot 2026 auf dem Weg.</t>
        </is>
      </c>
    </row>
    <row r="270" ht="57.30172413793103" customHeight="1">
      <c r="A270" s="207" t="inlineStr">
        <is>
          <t>Leber-Supplemente (TUDCA, NAC)</t>
        </is>
      </c>
      <c r="B270" s="212" t="n"/>
      <c r="C270" s="212" t="n"/>
      <c r="D270" s="212" t="n"/>
      <c r="E270" s="212" t="n"/>
      <c r="F270" s="212" t="n"/>
      <c r="G270" s="212" t="n"/>
      <c r="H270" s="212" t="n"/>
      <c r="I270" s="212" t="n"/>
      <c r="J270" s="212" t="n"/>
      <c r="K270" s="212" t="n"/>
      <c r="L270" s="212" t="n"/>
      <c r="M270" s="212" t="n"/>
      <c r="N270" s="212" t="n"/>
      <c r="O270" s="212" t="n"/>
      <c r="P270" s="212" t="n"/>
      <c r="Q270" s="212" t="n"/>
      <c r="R270" s="213" t="n">
        <v>0.2</v>
      </c>
      <c r="S270" s="212" t="n"/>
      <c r="T270" s="212" t="n"/>
      <c r="U270" s="212" t="n"/>
      <c r="V270" s="212" t="n"/>
      <c r="W270" s="212" t="n"/>
      <c r="X270" s="209" t="inlineStr">
        <is>
          <t>Leber-Supplement</t>
        </is>
      </c>
      <c r="Y270" s="209" t="inlineStr">
        <is>
          <t>C</t>
        </is>
      </c>
      <c r="Z270" s="209" t="n"/>
      <c r="AA270" s="209" t="inlineStr">
        <is>
          <t>ALT und AST im Normbereich. Bei Kraftsport sind leichte Erhoehungen auch ohne Leberproblem ueblich.</t>
        </is>
      </c>
      <c r="AB270" s="209" t="inlineStr">
        <is>
          <t>WICHTIG: diese Zeile senkt den Oral-Abzug NICHT. Es gibt keine belastbaren Humandaten, dass TUDCA oder NAC den Schaden 17-alpha-alkylierter Substanzen verhindern. Entkoppelt, weil es fuer die Leber keinen Eingabewert im Blatt gibt.</t>
        </is>
      </c>
    </row>
    <row r="271" ht="65.43103448275862" customHeight="1">
      <c r="A271" s="207" t="inlineStr">
        <is>
          <t>Ausdauertraining und Koerperfett runter</t>
        </is>
      </c>
      <c r="B271" s="212" t="n"/>
      <c r="C271" s="212" t="n"/>
      <c r="D271" s="213" t="n">
        <v>0.25</v>
      </c>
      <c r="E271" s="212" t="n"/>
      <c r="F271" s="213" t="n">
        <v>0.3</v>
      </c>
      <c r="G271" s="213" t="n">
        <v>0.35</v>
      </c>
      <c r="H271" s="212" t="n"/>
      <c r="I271" s="213" t="n">
        <v>0.1</v>
      </c>
      <c r="J271" s="212" t="n">
        <v>0.15</v>
      </c>
      <c r="K271" s="212" t="n">
        <v>0.35</v>
      </c>
      <c r="L271" s="212" t="n"/>
      <c r="M271" s="213" t="n">
        <v>0.3</v>
      </c>
      <c r="N271" s="212" t="n"/>
      <c r="O271" s="212" t="n"/>
      <c r="P271" s="212" t="n"/>
      <c r="Q271" s="212" t="n"/>
      <c r="R271" s="213" t="n">
        <v>0.25</v>
      </c>
      <c r="S271" s="212" t="n"/>
      <c r="T271" s="213" t="n">
        <v>0.4</v>
      </c>
      <c r="U271" s="212" t="n"/>
      <c r="V271" s="212" t="n"/>
      <c r="W271" s="212" t="n"/>
      <c r="X271" s="209" t="inlineStr">
        <is>
          <t>Lifestyle</t>
        </is>
      </c>
      <c r="Y271" s="209" t="inlineStr">
        <is>
          <t>A</t>
        </is>
      </c>
      <c r="Z271" s="209" t="n"/>
      <c r="AA271" s="209" t="inlineStr">
        <is>
          <t>HDL ueber 1,0 mmol/l, Triglyzeride unter 1,2, Blutdruck unter 130/80.</t>
        </is>
      </c>
      <c r="AB271" s="209" t="inlineStr">
        <is>
          <t>Das Mittel mit der besten Datenlage auf diesem Blatt, und das einzige mit einem grossen Psyche-Plus. Wirkt bei Depression in der Groessenordnung einer medikamentoesen Behandlung und kostet nichts ausser Zeit.</t>
        </is>
      </c>
    </row>
    <row r="272" ht="30.93103448275862" customHeight="1">
      <c r="A272" s="207" t="inlineStr">
        <is>
          <t>Salzreduktion</t>
        </is>
      </c>
      <c r="B272" s="212" t="n"/>
      <c r="C272" s="212" t="n"/>
      <c r="D272" s="213" t="n">
        <v>0.2</v>
      </c>
      <c r="E272" s="212" t="n"/>
      <c r="F272" s="212" t="n"/>
      <c r="G272" s="212" t="n"/>
      <c r="H272" s="212" t="n"/>
      <c r="I272" s="212" t="n"/>
      <c r="J272" s="212" t="n">
        <v>0.1</v>
      </c>
      <c r="K272" s="212" t="n"/>
      <c r="L272" s="212" t="n"/>
      <c r="M272" s="212" t="n"/>
      <c r="N272" s="212" t="n"/>
      <c r="O272" s="212" t="n"/>
      <c r="P272" s="212" t="n"/>
      <c r="Q272" s="212" t="n"/>
      <c r="R272" s="212" t="n"/>
      <c r="S272" s="212" t="n"/>
      <c r="T272" s="212" t="n"/>
      <c r="U272" s="212" t="n"/>
      <c r="V272" s="212" t="n"/>
      <c r="W272" s="212" t="n"/>
      <c r="X272" s="209" t="inlineStr">
        <is>
          <t>Ernaehrung</t>
        </is>
      </c>
      <c r="Y272" s="209" t="inlineStr">
        <is>
          <t>A</t>
        </is>
      </c>
      <c r="Z272" s="209" t="n"/>
      <c r="AA272" s="209" t="inlineStr">
        <is>
          <t>Blutdruck unter 130/80.</t>
        </is>
      </c>
      <c r="AB272" s="209" t="inlineStr">
        <is>
          <t>Kostet nichts und wirkt zuverlaessig, besonders bei den salzsensitiven Genotypen dieser Kategorie.</t>
        </is>
      </c>
    </row>
    <row r="273" ht="52.74137931034483" customHeight="1">
      <c r="A273" s="207" t="inlineStr">
        <is>
          <t>Aromatasehemmer</t>
        </is>
      </c>
      <c r="B273" s="213" t="n">
        <v>0.65</v>
      </c>
      <c r="C273" s="212" t="n"/>
      <c r="D273" s="212" t="n"/>
      <c r="E273" s="212" t="n"/>
      <c r="F273" s="214" t="n">
        <v>-0.2</v>
      </c>
      <c r="G273" s="212" t="n"/>
      <c r="H273" s="212" t="n"/>
      <c r="I273" s="212" t="n"/>
      <c r="J273" s="212" t="n"/>
      <c r="K273" s="212" t="n">
        <v>-0.3</v>
      </c>
      <c r="L273" s="212" t="n"/>
      <c r="M273" s="212" t="n"/>
      <c r="N273" s="212" t="n"/>
      <c r="O273" s="212" t="n"/>
      <c r="P273" s="212" t="n"/>
      <c r="Q273" s="212" t="n"/>
      <c r="R273" s="212" t="n"/>
      <c r="S273" s="212" t="n"/>
      <c r="T273" s="212" t="n"/>
      <c r="U273" s="212" t="n"/>
      <c r="V273" s="212" t="n"/>
      <c r="W273" s="212" t="n"/>
      <c r="X273" s="209" t="inlineStr">
        <is>
          <t>Aromatasehemmer</t>
        </is>
      </c>
      <c r="Y273" s="209" t="inlineStr">
        <is>
          <t>B</t>
        </is>
      </c>
      <c r="Z273" s="209" t="n"/>
      <c r="AA273" s="209" t="inlineStr">
        <is>
          <t>E2 im Zielbereich, NICHT gecrasht. HDL dabei mitlaufen lassen.</t>
        </is>
      </c>
      <c r="AB273" s="209" t="inlineStr">
        <is>
          <t>Ein zu tief gedruecktes E2 kostet Stimmung, Antrieb, Gelenke, Knochendichte und HDL. Deshalb steht hier ein Psyche-Minus, obwohl der Stoff auf dem Papier ein Schutzmittel ist. Niedrigste wirksame Dosis, und nur mit Messwert.</t>
        </is>
      </c>
    </row>
    <row r="274" ht="47.38793103448275" customHeight="1">
      <c r="A274" s="207" t="inlineStr">
        <is>
          <t>5-alpha-Reduktase-Hemmer</t>
        </is>
      </c>
      <c r="B274" s="212" t="n"/>
      <c r="C274" s="213" t="n">
        <v>0.6</v>
      </c>
      <c r="D274" s="212" t="n"/>
      <c r="E274" s="212" t="n"/>
      <c r="F274" s="212" t="n"/>
      <c r="G274" s="212" t="n"/>
      <c r="H274" s="212" t="n"/>
      <c r="I274" s="212" t="n"/>
      <c r="J274" s="212" t="n"/>
      <c r="K274" s="212" t="n">
        <v>-0.35</v>
      </c>
      <c r="L274" s="212" t="n"/>
      <c r="M274" s="212" t="n">
        <v>0.15</v>
      </c>
      <c r="N274" s="212" t="n"/>
      <c r="O274" s="212" t="n"/>
      <c r="P274" s="212" t="n"/>
      <c r="Q274" s="212" t="n"/>
      <c r="R274" s="212" t="n"/>
      <c r="S274" s="212" t="n"/>
      <c r="T274" s="212" t="n"/>
      <c r="U274" s="212" t="n"/>
      <c r="V274" s="212" t="n"/>
      <c r="W274" s="213" t="n">
        <v>0.55</v>
      </c>
      <c r="X274" s="209" t="inlineStr">
        <is>
          <t>5AR-Hemmer</t>
        </is>
      </c>
      <c r="Y274" s="209" t="inlineStr">
        <is>
          <t>A</t>
        </is>
      </c>
      <c r="Z274" s="209" t="n"/>
      <c r="AA274" s="209" t="inlineStr">
        <is>
          <t>Kein Laborziel - der Effekt zeigt sich am Haaransatz, nicht im Blut.</t>
        </is>
      </c>
      <c r="AB274" s="209" t="inlineStr">
        <is>
          <t>ZWEISCHNEIDIG. Weniger DHT heisst weniger androgener Druck auf den Herzmuskel - deshalb steht dort ein Plus. Dem gegenueber steht das groesste Psyche-Minus dieser Liste: anhaltende Depression, Anhedonie und Libidoverlust nach dem Absetzen sind gut dokumentiert, und es gibt ein Suizidalitaets-Signal. Wer dazu neigt oder eine Vorgeschichte hat, bespricht das vorher mit einem Arzt und nicht mit dem Coach.</t>
        </is>
      </c>
    </row>
    <row r="275" ht="39.25862068965517" customHeight="1">
      <c r="A275" s="207" t="inlineStr">
        <is>
          <t>ASS niedrig dosiert</t>
        </is>
      </c>
      <c r="B275" s="212" t="n"/>
      <c r="C275" s="212" t="n"/>
      <c r="D275" s="212" t="n"/>
      <c r="E275" s="212" t="n"/>
      <c r="F275" s="212" t="n"/>
      <c r="G275" s="212" t="n"/>
      <c r="H275" s="212" t="n"/>
      <c r="I275" s="213" t="n">
        <v>0.12</v>
      </c>
      <c r="J275" s="212" t="n"/>
      <c r="K275" s="212" t="n"/>
      <c r="L275" s="212" t="n"/>
      <c r="M275" s="212" t="n"/>
      <c r="N275" s="213" t="n">
        <v>0.08</v>
      </c>
      <c r="O275" s="212" t="n"/>
      <c r="P275" s="212" t="n"/>
      <c r="Q275" s="212" t="n"/>
      <c r="R275" s="212" t="n"/>
      <c r="S275" s="212" t="n"/>
      <c r="T275" s="212" t="n"/>
      <c r="U275" s="212" t="n"/>
      <c r="V275" s="212" t="n"/>
      <c r="W275" s="212" t="n"/>
      <c r="X275" s="209" t="inlineStr">
        <is>
          <t>Thrombozytenhemmer</t>
        </is>
      </c>
      <c r="Y275" s="209" t="inlineStr">
        <is>
          <t>A</t>
        </is>
      </c>
      <c r="Z275" s="209" t="n"/>
      <c r="AA275" s="209" t="inlineStr">
        <is>
          <t>Kein Laborziel.</t>
        </is>
      </c>
      <c r="AB275" s="209" t="inlineStr">
        <is>
          <t>Wirkt auf Blutplaettchen, also auf die arterielle Seite. Gegen die venoesen Gerinnungsvarianten dieser Kategorie richtet es fast nichts aus.</t>
        </is>
      </c>
    </row>
    <row r="276" ht="37.47413793103448" customHeight="1">
      <c r="A276" s="207" t="inlineStr">
        <is>
          <t>Cabergolin oder P5P</t>
        </is>
      </c>
      <c r="B276" s="212" t="n"/>
      <c r="C276" s="212" t="n"/>
      <c r="D276" s="212" t="n"/>
      <c r="E276" s="212" t="n"/>
      <c r="F276" s="212" t="n"/>
      <c r="G276" s="212" t="n"/>
      <c r="H276" s="212" t="n"/>
      <c r="I276" s="212" t="n"/>
      <c r="J276" s="212" t="n"/>
      <c r="K276" s="212" t="n">
        <v>0.2</v>
      </c>
      <c r="L276" s="212" t="n"/>
      <c r="M276" s="212" t="n"/>
      <c r="N276" s="212" t="n"/>
      <c r="O276" s="212" t="n"/>
      <c r="P276" s="212" t="n"/>
      <c r="Q276" s="212" t="n"/>
      <c r="R276" s="212" t="n"/>
      <c r="S276" s="212" t="n"/>
      <c r="T276" s="212" t="n"/>
      <c r="U276" s="212" t="n"/>
      <c r="V276" s="212" t="n"/>
      <c r="W276" s="212" t="n"/>
      <c r="X276" s="209" t="inlineStr">
        <is>
          <t>Prolaktin</t>
        </is>
      </c>
      <c r="Y276" s="209" t="inlineStr">
        <is>
          <t>B</t>
        </is>
      </c>
      <c r="Z276" s="209" t="n"/>
      <c r="AA276" s="209" t="inlineStr">
        <is>
          <t>Prolaktin im Normbereich.</t>
        </is>
      </c>
      <c r="AB276" s="209" t="inlineStr">
        <is>
          <t>Holt Stimmung und Libido zurueck, wenn ein hohes Prolaktin der Grund war. Cabergolin selbst kann dafuer Impulskontrolle und Schlaf stoeren - niedrig dosieren, und nur mit gemessenem Prolaktin.</t>
        </is>
      </c>
    </row>
    <row r="277" ht="82.87931034482759" customHeight="1">
      <c r="A277" s="207" t="inlineStr">
        <is>
          <t>SERM (Tamoxifen, Raloxifen, Enclomifen)</t>
        </is>
      </c>
      <c r="B277" s="213" t="n">
        <v>0.33</v>
      </c>
      <c r="C277" s="212" t="n"/>
      <c r="D277" s="212" t="n"/>
      <c r="E277" s="212" t="n"/>
      <c r="F277" s="212" t="n"/>
      <c r="G277" s="212" t="n"/>
      <c r="H277" s="212" t="n"/>
      <c r="I277" s="212" t="n"/>
      <c r="J277" s="212" t="n"/>
      <c r="K277" s="212" t="n">
        <v>-0.25</v>
      </c>
      <c r="L277" s="212" t="n"/>
      <c r="M277" s="212" t="n"/>
      <c r="N277" s="212" t="n"/>
      <c r="O277" s="212" t="n"/>
      <c r="P277" s="212" t="n"/>
      <c r="Q277" s="212" t="n"/>
      <c r="R277" s="212" t="n"/>
      <c r="S277" s="212" t="n"/>
      <c r="T277" s="212" t="n"/>
      <c r="U277" s="214" t="n">
        <v>-0.1</v>
      </c>
      <c r="V277" s="212" t="n"/>
      <c r="W277" s="212" t="n"/>
      <c r="X277" s="209" t="inlineStr">
        <is>
          <t>SERM</t>
        </is>
      </c>
      <c r="Y277" s="209" t="inlineStr">
        <is>
          <t>B</t>
        </is>
      </c>
      <c r="Z277" s="209" t="n"/>
      <c r="AA277" s="209" t="inlineStr">
        <is>
          <t>Bruestgewebe ruhig, E2 im Zielbereich - NICHT gecrasht.</t>
        </is>
      </c>
      <c r="AB277" s="209" t="inlineStr">
        <is>
          <t>Halbes Gesundheitsplus wie der Aromatasehemmer, dafuer Minus beim Muskelaufbau - und ein Psyche-Minus: Stimmungstief, Reizbarkeit und Sehstoerungen sind bei Clomifen haeufig, bei Tamoxifen seltener.</t>
        </is>
      </c>
    </row>
    <row r="278" ht="88.62931034482759" customHeight="1">
      <c r="A278" s="207" t="inlineStr">
        <is>
          <t>Testosteron</t>
        </is>
      </c>
      <c r="B278" s="212" t="n"/>
      <c r="C278" s="212" t="n"/>
      <c r="D278" s="212" t="n"/>
      <c r="E278" s="212" t="n"/>
      <c r="F278" s="212" t="n"/>
      <c r="G278" s="212" t="n"/>
      <c r="H278" s="212" t="n"/>
      <c r="I278" s="212" t="n"/>
      <c r="J278" s="212" t="n"/>
      <c r="K278" s="212" t="n"/>
      <c r="L278" s="212" t="n"/>
      <c r="M278" s="212" t="n"/>
      <c r="N278" s="212" t="n"/>
      <c r="O278" s="212" t="n"/>
      <c r="P278" s="212" t="n"/>
      <c r="Q278" s="212" t="n"/>
      <c r="R278" s="212" t="n"/>
      <c r="S278" s="212" t="n"/>
      <c r="T278" s="212" t="n"/>
      <c r="U278" s="212" t="n"/>
      <c r="V278" s="212" t="n"/>
      <c r="W278" s="212" t="n"/>
      <c r="X278" s="209" t="inlineStr">
        <is>
          <t>Basis</t>
        </is>
      </c>
      <c r="Y278" s="209" t="inlineStr">
        <is>
          <t>A</t>
        </is>
      </c>
      <c r="Z278" s="209" t="n"/>
      <c r="AA278" s="209" t="inlineStr">
        <is>
          <t>Haematokrit unter 47, HDL ueber 1,0, Blutdruck unter 130/80.</t>
        </is>
      </c>
      <c r="AB278" s="209" t="inlineStr">
        <is>
          <t>DIE GRUNDLAST. Sie steckt bereits im Gesamt-Load oben und bekommt deshalb hier keine eigenen Faktoren - sonst waere sie doppelt gezaehlt. Alle folgenden Zeilen zeigen, was eine Substanz ZUSAETZLICH zu Testosteron auf einzelne Systeme legt. Testosteron aromatisiert, und das ist fuer die Blutfette ein Vorteil: in Studien verschlechterte gerade das BLOCKIEREN der Aromatase das Lipidprofil.</t>
        </is>
      </c>
    </row>
    <row r="279" ht="74.1551724137931" customHeight="1">
      <c r="A279" s="207" t="inlineStr">
        <is>
          <t>Nandrolon</t>
        </is>
      </c>
      <c r="B279" s="212" t="n"/>
      <c r="C279" s="212" t="n"/>
      <c r="D279" s="214" t="n">
        <v>-0.15</v>
      </c>
      <c r="E279" s="212" t="n"/>
      <c r="F279" s="214" t="n">
        <v>-0.25</v>
      </c>
      <c r="G279" s="212" t="n"/>
      <c r="H279" s="212" t="n"/>
      <c r="I279" s="212" t="n"/>
      <c r="J279" s="212" t="n">
        <v>-0.15</v>
      </c>
      <c r="K279" s="212" t="n">
        <v>-0.3</v>
      </c>
      <c r="L279" s="212" t="n"/>
      <c r="M279" s="214" t="n">
        <v>-0.35</v>
      </c>
      <c r="N279" s="212" t="n"/>
      <c r="O279" s="212" t="n">
        <v>-0.2</v>
      </c>
      <c r="P279" s="212" t="n"/>
      <c r="Q279" s="212" t="n"/>
      <c r="R279" s="212" t="n"/>
      <c r="S279" s="212" t="n"/>
      <c r="T279" s="212" t="n"/>
      <c r="U279" s="212" t="n"/>
      <c r="V279" s="212" t="n"/>
      <c r="W279" s="212" t="n"/>
      <c r="X279" s="209" t="inlineStr">
        <is>
          <t>19-Nor</t>
        </is>
      </c>
      <c r="Y279" s="209" t="inlineStr">
        <is>
          <t>B</t>
        </is>
      </c>
      <c r="Z279" s="209" t="n"/>
      <c r="AA279" s="209" t="inlineStr">
        <is>
          <t>Prolaktin im Normbereich, HDL ueber 1,0.</t>
        </is>
      </c>
      <c r="AB279" s="209" t="inlineStr">
        <is>
          <t>19-Nor. PROLAKTIN ist der Punkt, den die Liste noch nicht als Kategorie hat - Cabergolin oder P5P gehoeren hier ins Blickfeld, ebenso die progestogene Wirkung. Auf die Blutfette vergleichsweise moderat (rund 25 Prozent HDL-Abfall in einer Crossover-Studie), am Herzmuskel dagegen der auffaelligste der Injizierbaren.</t>
        </is>
      </c>
    </row>
    <row r="280" ht="101.7155172413793" customHeight="1">
      <c r="A280" s="207" t="inlineStr">
        <is>
          <t>Trenbolon</t>
        </is>
      </c>
      <c r="B280" s="214" t="n">
        <v>-0.2</v>
      </c>
      <c r="C280" s="212" t="n"/>
      <c r="D280" s="214" t="n">
        <v>-0.3</v>
      </c>
      <c r="E280" s="212" t="n"/>
      <c r="F280" s="214" t="n">
        <v>-0.6</v>
      </c>
      <c r="G280" s="212" t="n"/>
      <c r="H280" s="212" t="n"/>
      <c r="I280" s="212" t="n"/>
      <c r="J280" s="214" t="n">
        <v>-0.2</v>
      </c>
      <c r="K280" s="214" t="n">
        <v>-0.45</v>
      </c>
      <c r="L280" s="214" t="n">
        <v>-0.25</v>
      </c>
      <c r="M280" s="214" t="n">
        <v>-0.45</v>
      </c>
      <c r="N280" s="212" t="n"/>
      <c r="O280" s="212" t="n">
        <v>-0.25</v>
      </c>
      <c r="P280" s="212" t="n"/>
      <c r="Q280" s="214" t="n">
        <v>-0.4</v>
      </c>
      <c r="R280" s="212" t="n"/>
      <c r="S280" s="212" t="n"/>
      <c r="T280" s="212" t="n"/>
      <c r="U280" s="212" t="n"/>
      <c r="V280" s="212" t="n"/>
      <c r="W280" s="212" t="n"/>
      <c r="X280" s="209" t="inlineStr">
        <is>
          <t>19-Nor</t>
        </is>
      </c>
      <c r="Y280" s="209" t="inlineStr">
        <is>
          <t>B</t>
        </is>
      </c>
      <c r="Z280" s="209" t="n"/>
      <c r="AA280" s="209" t="inlineStr">
        <is>
          <t>Kein Zielwert macht das gut. Wenn ueberhaupt: Cystatin C unter 0,90, HDL ueber 1,0, Blutdruck unter 130/80, Prolaktin normal.</t>
        </is>
      </c>
      <c r="AB280" s="209" t="inlineStr">
        <is>
          <t>Der Stoff mit dem breitesten Schadensprofil auf diesem Blatt. 19-Nor, aromatisiert nicht (deshalb der E2-Eintrag: fehlendes Estrogen ist fuer Blutfette und Gelenke ein Nachteil, nicht nur fuer die Libido), starke Prolaktin- und Progesteronwirkung, in Fallberichten und Tiermodellen Hinweise auf Nierenschaedigung und Kardiomyopathie. Dazu Schlafstoerungen und Blutdruck. Wer den Score sehen will, ohne ihn zu veraendern, hakt genau diese Zeile an und aus.</t>
        </is>
      </c>
    </row>
    <row r="281" ht="52.9396551724138" customHeight="1">
      <c r="A281" s="207" t="inlineStr">
        <is>
          <t>Boldenon</t>
        </is>
      </c>
      <c r="B281" s="212" t="n"/>
      <c r="C281" s="212" t="n"/>
      <c r="D281" s="212" t="n"/>
      <c r="E281" s="212" t="n"/>
      <c r="F281" s="214" t="n">
        <v>-0.15</v>
      </c>
      <c r="G281" s="212" t="n"/>
      <c r="H281" s="212" t="n"/>
      <c r="I281" s="212" t="n"/>
      <c r="J281" s="212" t="n">
        <v>-0.1</v>
      </c>
      <c r="K281" s="212" t="n">
        <v>-0.2</v>
      </c>
      <c r="L281" s="212" t="n"/>
      <c r="M281" s="212" t="n"/>
      <c r="N281" s="212" t="n"/>
      <c r="O281" s="214" t="n">
        <v>-0.55</v>
      </c>
      <c r="P281" s="212" t="n"/>
      <c r="Q281" s="214" t="n">
        <v>-0.2</v>
      </c>
      <c r="R281" s="212" t="n"/>
      <c r="S281" s="212" t="n"/>
      <c r="T281" s="212" t="n"/>
      <c r="U281" s="212" t="n"/>
      <c r="V281" s="212" t="n"/>
      <c r="W281" s="212" t="n"/>
      <c r="X281" s="209" t="inlineStr">
        <is>
          <t>Sonstige AAS</t>
        </is>
      </c>
      <c r="Y281" s="209" t="inlineStr">
        <is>
          <t>C</t>
        </is>
      </c>
      <c r="Z281" s="209" t="n"/>
      <c r="AA281" s="209" t="inlineStr">
        <is>
          <t>Haematokrit unter 47 - hier der entscheidende Wert.</t>
        </is>
      </c>
      <c r="AB281" s="209" t="inlineStr">
        <is>
          <t>Treibt die Erythropoese staerker als die meisten anderen. Wer Boldenon faehrt, kontrolliert den Haematokrit engmaschig und plant die Blutspende von vornherein ein. Auf die Blutfette vergleichsweise freundlich.</t>
        </is>
      </c>
    </row>
    <row r="282" ht="52.14655172413793" customHeight="1">
      <c r="A282" s="207" t="inlineStr">
        <is>
          <t>Drostanolon</t>
        </is>
      </c>
      <c r="B282" s="214" t="n">
        <v>-0.15</v>
      </c>
      <c r="C282" s="214" t="n">
        <v>-0.25</v>
      </c>
      <c r="D282" s="212" t="n"/>
      <c r="E282" s="212" t="n"/>
      <c r="F282" s="214" t="n">
        <v>-0.35</v>
      </c>
      <c r="G282" s="212" t="n"/>
      <c r="H282" s="212" t="n"/>
      <c r="I282" s="212" t="n"/>
      <c r="J282" s="212" t="n"/>
      <c r="K282" s="212" t="n"/>
      <c r="L282" s="212" t="n"/>
      <c r="M282" s="212" t="n"/>
      <c r="N282" s="212" t="n"/>
      <c r="O282" s="212" t="n">
        <v>-0.15</v>
      </c>
      <c r="P282" s="212" t="n"/>
      <c r="Q282" s="212" t="n"/>
      <c r="R282" s="212" t="n"/>
      <c r="S282" s="212" t="n"/>
      <c r="T282" s="212" t="n"/>
      <c r="U282" s="212" t="n"/>
      <c r="V282" s="212" t="n"/>
      <c r="W282" s="214" t="n">
        <v>-0.3</v>
      </c>
      <c r="X282" s="209" t="inlineStr">
        <is>
          <t>DHT-Derivat</t>
        </is>
      </c>
      <c r="Y282" s="209" t="inlineStr">
        <is>
          <t>C</t>
        </is>
      </c>
      <c r="Z282" s="209" t="n"/>
      <c r="AA282" s="209" t="inlineStr">
        <is>
          <t>HDL ueber 1,0.</t>
        </is>
      </c>
      <c r="AB282" s="209" t="inlineStr">
        <is>
          <t>DHT-Derivat, aromatisiert nicht. Typisches Muster der Klasse: HDL runter, Haare und Prostata belastet, Estradiol gedrueckt. Der E2-Eintrag ist kein Tippfehler - zu wenig Estrogen ist ebenfalls ein Problem.</t>
        </is>
      </c>
    </row>
    <row r="283" ht="34.89655172413793" customHeight="1">
      <c r="A283" s="207" t="inlineStr">
        <is>
          <t>Primobolan (Methenolon)</t>
        </is>
      </c>
      <c r="B283" s="214" t="n">
        <v>-0.25</v>
      </c>
      <c r="C283" s="212" t="n"/>
      <c r="D283" s="212" t="n"/>
      <c r="E283" s="212" t="n"/>
      <c r="F283" s="214" t="n">
        <v>-0.2</v>
      </c>
      <c r="G283" s="212" t="n"/>
      <c r="H283" s="212" t="n"/>
      <c r="I283" s="212" t="n"/>
      <c r="J283" s="212" t="n"/>
      <c r="K283" s="212" t="n"/>
      <c r="L283" s="212" t="n"/>
      <c r="M283" s="212" t="n"/>
      <c r="N283" s="212" t="n"/>
      <c r="O283" s="212" t="n">
        <v>-0.15</v>
      </c>
      <c r="P283" s="212" t="n"/>
      <c r="Q283" s="212" t="n"/>
      <c r="R283" s="212" t="n"/>
      <c r="S283" s="212" t="n"/>
      <c r="T283" s="212" t="n"/>
      <c r="U283" s="212" t="n"/>
      <c r="V283" s="212" t="n"/>
      <c r="W283" s="214" t="n">
        <v>-0.15</v>
      </c>
      <c r="X283" s="209" t="inlineStr">
        <is>
          <t>DHT-Derivat</t>
        </is>
      </c>
      <c r="Y283" s="209" t="inlineStr">
        <is>
          <t>C</t>
        </is>
      </c>
      <c r="Z283" s="209" t="n"/>
      <c r="AA283" s="209" t="inlineStr">
        <is>
          <t>HDL ueber 1,0.</t>
        </is>
      </c>
      <c r="AB283" s="209" t="inlineStr">
        <is>
          <t>Der mildeste der gaengigen Injizierbaren - aber nicht neutral am Oestrogen: Methenolon draengt E2 staerker nach unten als Drostanolon. Zu tiefes E2 ist kein Gewinn, sondern kostet Gelenke, Knochendichte, Libido und HDL, deshalb steht hier ein Minus und kein Plus. Ansonsten weniger auffaellig als der Rest der Klasse, was ihn nicht harmlos macht.</t>
        </is>
      </c>
    </row>
    <row r="284" ht="43.02586206896552" customHeight="1">
      <c r="A284" s="207" t="inlineStr">
        <is>
          <t>Oxandrolon</t>
        </is>
      </c>
      <c r="B284" s="212" t="n"/>
      <c r="C284" s="212" t="n"/>
      <c r="D284" s="212" t="n"/>
      <c r="E284" s="214" t="n">
        <v>-0.2</v>
      </c>
      <c r="F284" s="214" t="n">
        <v>-0.5</v>
      </c>
      <c r="G284" s="212" t="n"/>
      <c r="H284" s="212" t="n"/>
      <c r="I284" s="212" t="n"/>
      <c r="J284" s="212" t="n">
        <v>-0.1</v>
      </c>
      <c r="K284" s="212" t="n">
        <v>-0.1</v>
      </c>
      <c r="L284" s="212" t="n"/>
      <c r="M284" s="212" t="n"/>
      <c r="N284" s="212" t="n"/>
      <c r="O284" s="212" t="n">
        <v>-0.1</v>
      </c>
      <c r="P284" s="212" t="n"/>
      <c r="Q284" s="212" t="n">
        <v>-0.2</v>
      </c>
      <c r="R284" s="214" t="n">
        <v>-0.15</v>
      </c>
      <c r="S284" s="212" t="n"/>
      <c r="T284" s="212" t="n"/>
      <c r="U284" s="212" t="n"/>
      <c r="V284" s="212" t="n"/>
      <c r="W284" s="212" t="n"/>
      <c r="X284" s="209" t="inlineStr">
        <is>
          <t>Oral 17-aa</t>
        </is>
      </c>
      <c r="Y284" s="209" t="inlineStr">
        <is>
          <t>B</t>
        </is>
      </c>
      <c r="Z284" s="209" t="inlineStr">
        <is>
          <t>rs4149056: SLCO1B1-Treffer - derselbe Transporter, ueber den 17-alpha-alkylierte Substanzen in die Leberzelle gelangen.</t>
        </is>
      </c>
      <c r="AA284" s="209" t="inlineStr">
        <is>
          <t>HDL ueber 1,0, ALT und AST im Rahmen.</t>
        </is>
      </c>
      <c r="AB284" s="209" t="inlineStr">
        <is>
          <t>Der leberfreundlichste der 17-alpha-alkylierten - deshalb hier weniger Leberminus als bei den anderen. Dafuer ein eigenes Nierenthema: Kreatininanstieg und Belastung der Niere sind gut dokumentiert und werden gern als 'nur mehr Muskelmasse' wegerklaert. Das Lipidprofil bleibt uebel.</t>
        </is>
      </c>
    </row>
    <row r="285" ht="67.21551724137932" customHeight="1">
      <c r="A285" s="207" t="inlineStr">
        <is>
          <t>Stanozolol</t>
        </is>
      </c>
      <c r="B285" s="212" t="n"/>
      <c r="C285" s="212" t="n"/>
      <c r="D285" s="212" t="n"/>
      <c r="E285" s="214" t="n">
        <v>-0.3</v>
      </c>
      <c r="F285" s="214" t="n">
        <v>-0.6</v>
      </c>
      <c r="G285" s="212" t="n"/>
      <c r="H285" s="212" t="n"/>
      <c r="I285" s="214" t="n">
        <v>-0.15</v>
      </c>
      <c r="J285" s="212" t="n">
        <v>-0.3</v>
      </c>
      <c r="K285" s="212" t="n">
        <v>-0.2</v>
      </c>
      <c r="L285" s="212" t="n"/>
      <c r="M285" s="212" t="n"/>
      <c r="N285" s="212" t="n"/>
      <c r="O285" s="212" t="n">
        <v>-0.15</v>
      </c>
      <c r="P285" s="212" t="n"/>
      <c r="Q285" s="212" t="n"/>
      <c r="R285" s="214" t="n">
        <v>-0.35</v>
      </c>
      <c r="S285" s="212" t="n"/>
      <c r="T285" s="212" t="n"/>
      <c r="U285" s="212" t="n"/>
      <c r="V285" s="212" t="n"/>
      <c r="W285" s="214" t="n">
        <v>-0.25</v>
      </c>
      <c r="X285" s="209" t="inlineStr">
        <is>
          <t>Oral 17-aa</t>
        </is>
      </c>
      <c r="Y285" s="209" t="inlineStr">
        <is>
          <t>B</t>
        </is>
      </c>
      <c r="Z285" s="209" t="inlineStr">
        <is>
          <t>rs4149056: SLCO1B1-Treffer - Vorsicht bei allen 17-alpha-alkylierten Substanzen.</t>
        </is>
      </c>
      <c r="AA285" s="209" t="inlineStr">
        <is>
          <t>HDL ueber 1,0, LDL unter 2,5, ALT und AST im Rahmen.</t>
        </is>
      </c>
      <c r="AB285" s="209" t="inlineStr">
        <is>
          <t>Der Stoff mit dem deutlichsten Kollagenproblem: verminderte Elastizitaet von Sehnen bis zur Gefaesswand, deshalb hier das groesste Minus der Liste. Dazu das schlechteste Lipidprofil aller gaengigen Oralen.</t>
        </is>
      </c>
    </row>
    <row r="286" ht="46.19827586206897" customHeight="1">
      <c r="A286" s="207" t="inlineStr">
        <is>
          <t>Oxymetholon</t>
        </is>
      </c>
      <c r="B286" s="212" t="n"/>
      <c r="C286" s="212" t="n"/>
      <c r="D286" s="214" t="n">
        <v>-0.35</v>
      </c>
      <c r="E286" s="214" t="n">
        <v>-0.25</v>
      </c>
      <c r="F286" s="214" t="n">
        <v>-0.5</v>
      </c>
      <c r="G286" s="212" t="n"/>
      <c r="H286" s="212" t="n"/>
      <c r="I286" s="212" t="n"/>
      <c r="J286" s="212" t="n">
        <v>-0.15</v>
      </c>
      <c r="K286" s="212" t="n">
        <v>-0.25</v>
      </c>
      <c r="L286" s="212" t="n"/>
      <c r="M286" s="212" t="n"/>
      <c r="N286" s="212" t="n"/>
      <c r="O286" s="214" t="n">
        <v>-0.45</v>
      </c>
      <c r="P286" s="212" t="n"/>
      <c r="Q286" s="212" t="n"/>
      <c r="R286" s="214" t="n">
        <v>-0.5</v>
      </c>
      <c r="S286" s="212" t="n"/>
      <c r="T286" s="212" t="n"/>
      <c r="U286" s="212" t="n"/>
      <c r="V286" s="212" t="n"/>
      <c r="W286" s="212" t="n"/>
      <c r="X286" s="209" t="inlineStr">
        <is>
          <t>Oral 17-aa</t>
        </is>
      </c>
      <c r="Y286" s="209" t="inlineStr">
        <is>
          <t>B</t>
        </is>
      </c>
      <c r="Z286" s="209" t="inlineStr">
        <is>
          <t>rs4149056: SLCO1B1-Treffer - Vorsicht bei allen 17-alpha-alkylierten Substanzen.</t>
        </is>
      </c>
      <c r="AA286" s="209" t="inlineStr">
        <is>
          <t>ALT und AST im Rahmen, Haematokrit unter 47, Blutdruck unter 130/80.</t>
        </is>
      </c>
      <c r="AB286" s="209" t="inlineStr">
        <is>
          <t>ORAL, 17-alpha-alkyliert: zusaetzlich oben den Oral-Schalter setzen. Auf die Leber und den Haematokrit der haerteste der gaengigen Orale, dazu Wassereinlagerung und Blutdruck.</t>
        </is>
      </c>
    </row>
    <row r="287" ht="43.62068965517241" customHeight="1">
      <c r="A287" s="207" t="inlineStr">
        <is>
          <t>Methandienon</t>
        </is>
      </c>
      <c r="B287" s="214" t="n">
        <v>-0.35</v>
      </c>
      <c r="C287" s="212" t="n"/>
      <c r="D287" s="214" t="n">
        <v>-0.3</v>
      </c>
      <c r="E287" s="214" t="n">
        <v>-0.2</v>
      </c>
      <c r="F287" s="214" t="n">
        <v>-0.45</v>
      </c>
      <c r="G287" s="212" t="n"/>
      <c r="H287" s="212" t="n"/>
      <c r="I287" s="212" t="n"/>
      <c r="J287" s="212" t="n">
        <v>-0.1</v>
      </c>
      <c r="K287" s="212" t="n">
        <v>-0.15</v>
      </c>
      <c r="L287" s="212" t="n"/>
      <c r="M287" s="212" t="n"/>
      <c r="N287" s="212" t="n"/>
      <c r="O287" s="212" t="n">
        <v>-0.2</v>
      </c>
      <c r="P287" s="212" t="n"/>
      <c r="Q287" s="212" t="n"/>
      <c r="R287" s="214" t="n">
        <v>-0.4</v>
      </c>
      <c r="S287" s="212" t="n"/>
      <c r="T287" s="212" t="n"/>
      <c r="U287" s="212" t="n"/>
      <c r="V287" s="212" t="n"/>
      <c r="W287" s="212" t="n"/>
      <c r="X287" s="209" t="inlineStr">
        <is>
          <t>Oral 17-aa</t>
        </is>
      </c>
      <c r="Y287" s="209" t="inlineStr">
        <is>
          <t>B</t>
        </is>
      </c>
      <c r="Z287" s="209" t="inlineStr">
        <is>
          <t>rs4149056: SLCO1B1-Treffer - Vorsicht bei allen 17-alpha-alkylierten Substanzen.</t>
        </is>
      </c>
      <c r="AA287" s="209" t="inlineStr">
        <is>
          <t>ALT und AST im Rahmen, Blutdruck unter 130/80, E2 im Zielbereich.</t>
        </is>
      </c>
      <c r="AB287" s="209" t="inlineStr">
        <is>
          <t>ORAL, 17-alpha-alkyliert: zusaetzlich oben den Oral-Schalter setzen. Aromatisiert stark, daher der E2-Eintrag und die Wassereinlagerung, die den Blutdruck treibt.</t>
        </is>
      </c>
    </row>
    <row r="288" ht="35.0948275862069" customHeight="1">
      <c r="A288" s="207" t="inlineStr">
        <is>
          <t>Turinabol</t>
        </is>
      </c>
      <c r="B288" s="212" t="n"/>
      <c r="C288" s="212" t="n"/>
      <c r="D288" s="212" t="n"/>
      <c r="E288" s="214" t="n">
        <v>-0.15</v>
      </c>
      <c r="F288" s="214" t="n">
        <v>-0.35</v>
      </c>
      <c r="G288" s="212" t="n"/>
      <c r="H288" s="212" t="n"/>
      <c r="I288" s="212" t="n"/>
      <c r="J288" s="212" t="n">
        <v>-0.1</v>
      </c>
      <c r="K288" s="212" t="n">
        <v>-0.1</v>
      </c>
      <c r="L288" s="212" t="n"/>
      <c r="M288" s="212" t="n"/>
      <c r="N288" s="212" t="n"/>
      <c r="O288" s="212" t="n">
        <v>-0.15</v>
      </c>
      <c r="P288" s="212" t="n"/>
      <c r="Q288" s="212" t="n"/>
      <c r="R288" s="214" t="n">
        <v>-0.25</v>
      </c>
      <c r="S288" s="212" t="n"/>
      <c r="T288" s="212" t="n"/>
      <c r="U288" s="212" t="n"/>
      <c r="V288" s="212" t="n"/>
      <c r="W288" s="212" t="n"/>
      <c r="X288" s="209" t="inlineStr">
        <is>
          <t>Oral 17-aa</t>
        </is>
      </c>
      <c r="Y288" s="209" t="inlineStr">
        <is>
          <t>C</t>
        </is>
      </c>
      <c r="Z288" s="209" t="inlineStr">
        <is>
          <t>rs4149056: SLCO1B1-Treffer - Vorsicht bei allen 17-alpha-alkylierten Substanzen.</t>
        </is>
      </c>
      <c r="AA288" s="209" t="inlineStr">
        <is>
          <t>HDL ueber 1,0, ALT und AST im Rahmen.</t>
        </is>
      </c>
      <c r="AB288" s="209" t="inlineStr">
        <is>
          <t>ORAL, 17-alpha-alkyliert: zusaetzlich oben den Oral-Schalter setzen. Milder als die uebrigen Orale, aromatisiert nicht.</t>
        </is>
      </c>
    </row>
    <row r="289" ht="69.5948275862069" customHeight="1">
      <c r="A289" s="207" t="inlineStr">
        <is>
          <t>SARM (RAD-140, LGD-4033, Ostarin)</t>
        </is>
      </c>
      <c r="B289" s="212" t="n"/>
      <c r="C289" s="212" t="n"/>
      <c r="D289" s="212" t="n"/>
      <c r="E289" s="214" t="n">
        <v>-0.15</v>
      </c>
      <c r="F289" s="214" t="n">
        <v>-0.4</v>
      </c>
      <c r="G289" s="212" t="n"/>
      <c r="H289" s="212" t="n"/>
      <c r="I289" s="212" t="n"/>
      <c r="J289" s="212" t="n"/>
      <c r="K289" s="212" t="n">
        <v>-0.15</v>
      </c>
      <c r="L289" s="212" t="n"/>
      <c r="M289" s="212" t="n"/>
      <c r="N289" s="212" t="n"/>
      <c r="O289" s="212" t="n">
        <v>-0.15</v>
      </c>
      <c r="P289" s="212" t="n"/>
      <c r="Q289" s="212" t="n"/>
      <c r="R289" s="214" t="n">
        <v>-0.3</v>
      </c>
      <c r="S289" s="212" t="n"/>
      <c r="T289" s="212" t="n"/>
      <c r="U289" s="212" t="n"/>
      <c r="V289" s="212" t="n"/>
      <c r="W289" s="212" t="n"/>
      <c r="X289" s="209" t="inlineStr">
        <is>
          <t>SARM</t>
        </is>
      </c>
      <c r="Y289" s="209" t="inlineStr">
        <is>
          <t>C</t>
        </is>
      </c>
      <c r="Z289" s="209" t="n"/>
      <c r="AA289" s="209" t="inlineStr">
        <is>
          <t>HDL ueber 1,0, ALT und AST im Rahmen.</t>
        </is>
      </c>
      <c r="AB289" s="209" t="inlineStr">
        <is>
          <t>Werden als milde Alternative verkauft und sind es nicht. Zu mehreren Vertretern gibt es Fallberichte ueber schwere Leberschaeden, das HDL faellt aehnlich deutlich wie unter Oralen. Keiner davon ist als Arzneimittel zugelassen, die Produktqualitaet auf dem grauen Markt ist entsprechend unklar.</t>
        </is>
      </c>
    </row>
    <row r="290" ht="53.73275862068966" customHeight="1">
      <c r="A290" s="207" t="inlineStr">
        <is>
          <t>Wachstumshormon (hGH)</t>
        </is>
      </c>
      <c r="B290" s="212" t="n"/>
      <c r="C290" s="212" t="n"/>
      <c r="D290" s="214" t="n">
        <v>-0.1</v>
      </c>
      <c r="E290" s="212" t="n"/>
      <c r="F290" s="212" t="n"/>
      <c r="G290" s="212" t="n"/>
      <c r="H290" s="212" t="n"/>
      <c r="I290" s="212" t="n"/>
      <c r="J290" s="212" t="n">
        <v>-0.25</v>
      </c>
      <c r="K290" s="212" t="n"/>
      <c r="L290" s="212" t="n"/>
      <c r="M290" s="214" t="n">
        <v>-0.25</v>
      </c>
      <c r="N290" s="212" t="n"/>
      <c r="O290" s="212" t="n"/>
      <c r="P290" s="212" t="n"/>
      <c r="Q290" s="212" t="n"/>
      <c r="R290" s="212" t="n"/>
      <c r="S290" s="212" t="n"/>
      <c r="T290" s="214" t="n">
        <v>-0.45</v>
      </c>
      <c r="U290" s="212" t="n"/>
      <c r="V290" s="212" t="n"/>
      <c r="W290" s="212" t="n"/>
      <c r="X290" s="209" t="inlineStr">
        <is>
          <t>Peptidhormon</t>
        </is>
      </c>
      <c r="Y290" s="209" t="inlineStr">
        <is>
          <t>B</t>
        </is>
      </c>
      <c r="Z290" s="209" t="n"/>
      <c r="AA290" s="209" t="inlineStr">
        <is>
          <t>Nuechternglukose unter 93 mg/dl bzw. HbA1c unter 5,7.</t>
        </is>
      </c>
      <c r="AB290" s="209" t="inlineStr">
        <is>
          <t>Was bei Akromegalie zu sehen ist - erweiterte Aortenwurzel und undichte Aortenklappe - ist der Grund fuer das Minus an der Gefaesswand. Bei den hier ueblichen Dosen abgeschwaecht, aber in dieselbe Richtung.</t>
        </is>
      </c>
    </row>
    <row r="291" ht="54.32758620689655" customHeight="1">
      <c r="A291" s="207" t="inlineStr">
        <is>
          <t>Insulin</t>
        </is>
      </c>
      <c r="B291" s="212" t="n"/>
      <c r="C291" s="212" t="n"/>
      <c r="D291" s="212" t="n"/>
      <c r="E291" s="212" t="n"/>
      <c r="F291" s="212" t="n"/>
      <c r="G291" s="212" t="n"/>
      <c r="H291" s="212" t="n"/>
      <c r="I291" s="212" t="n"/>
      <c r="J291" s="212" t="n"/>
      <c r="K291" s="212" t="n"/>
      <c r="L291" s="212" t="n"/>
      <c r="M291" s="212" t="n"/>
      <c r="N291" s="212" t="n"/>
      <c r="O291" s="212" t="n"/>
      <c r="P291" s="212" t="n"/>
      <c r="Q291" s="212" t="n"/>
      <c r="R291" s="212" t="n"/>
      <c r="S291" s="212" t="n"/>
      <c r="T291" s="214" t="n">
        <v>-0.25</v>
      </c>
      <c r="U291" s="212" t="n"/>
      <c r="V291" s="212" t="n"/>
      <c r="W291" s="212" t="n"/>
      <c r="X291" s="209" t="inlineStr">
        <is>
          <t>Insulin</t>
        </is>
      </c>
      <c r="Y291" s="209" t="inlineStr">
        <is>
          <t>A</t>
        </is>
      </c>
      <c r="Z291" s="209" t="n"/>
      <c r="AA291" s="209" t="inlineStr">
        <is>
          <t>Nuechternglukose unter 93 mg/dl.</t>
        </is>
      </c>
      <c r="AB291" s="209" t="inlineStr">
        <is>
          <t>Das eigentliche Risiko bildet dieser Score NICHT ab: eine Unterzuckerung kann innerhalb von Stunden toedlich sein, unabhaengig von jedem Punktwert hier. Der Eintrag steht fuer die laengerfristige Stoffwechselwirkung.</t>
        </is>
      </c>
    </row>
    <row r="292" ht="44.41379310344828" customHeight="1">
      <c r="A292" s="207" t="inlineStr">
        <is>
          <t>Clenbuterol</t>
        </is>
      </c>
      <c r="B292" s="212" t="n"/>
      <c r="C292" s="212" t="n"/>
      <c r="D292" s="212" t="n"/>
      <c r="E292" s="212" t="n">
        <v>0.05</v>
      </c>
      <c r="F292" s="212" t="n"/>
      <c r="G292" s="212" t="n">
        <v>0.15</v>
      </c>
      <c r="H292" s="212" t="n"/>
      <c r="I292" s="212" t="n"/>
      <c r="J292" s="214" t="n">
        <v>-0.1</v>
      </c>
      <c r="K292" s="214" t="n">
        <v>-0.3</v>
      </c>
      <c r="L292" s="214" t="n">
        <v>-0.4</v>
      </c>
      <c r="M292" s="214" t="n">
        <v>-0.35</v>
      </c>
      <c r="N292" s="212" t="n"/>
      <c r="O292" s="212" t="n">
        <v>-0.1</v>
      </c>
      <c r="P292" s="212" t="n"/>
      <c r="Q292" s="212" t="n"/>
      <c r="R292" s="212" t="n"/>
      <c r="S292" s="212" t="n"/>
      <c r="T292" s="212" t="n">
        <v>0.15</v>
      </c>
      <c r="U292" s="212" t="n"/>
      <c r="V292" s="212" t="n"/>
      <c r="W292" s="212" t="n"/>
      <c r="X292" s="209" t="inlineStr">
        <is>
          <t>Beta-2-Agonist</t>
        </is>
      </c>
      <c r="Y292" s="209" t="inlineStr">
        <is>
          <t>C</t>
        </is>
      </c>
      <c r="Z292" s="209" t="n"/>
      <c r="AA292" s="209" t="inlineStr">
        <is>
          <t>Ruhepuls und Rhythmus unauffaellig.</t>
        </is>
      </c>
      <c r="AB292" s="209" t="inlineStr">
        <is>
          <t>Zwei Gesichter. Als Beta-2-Agonist verbrennt er Fett und verbessert dabei Blutzucker und Triglyzeride - das sind die Pluszeichen. Dem gegenueber stehen Herzrhythmus, Herzmuskel und Psyche: Tremor, Herzrasen, Schlaflosigkeit und Panik. Baut ausser Fett auch Muskel ab.</t>
        </is>
      </c>
    </row>
    <row r="293" ht="51.35344827586207" customHeight="1">
      <c r="A293" s="207" t="inlineStr">
        <is>
          <t>T3 (Liothyronin)</t>
        </is>
      </c>
      <c r="B293" s="212" t="n"/>
      <c r="C293" s="212" t="n"/>
      <c r="D293" s="212" t="n"/>
      <c r="E293" s="212" t="n"/>
      <c r="F293" s="212" t="n"/>
      <c r="G293" s="212" t="n"/>
      <c r="H293" s="212" t="n"/>
      <c r="I293" s="212" t="n"/>
      <c r="J293" s="214" t="n"/>
      <c r="K293" s="214" t="n">
        <v>-0.25</v>
      </c>
      <c r="L293" s="214" t="n">
        <v>-0.3</v>
      </c>
      <c r="M293" s="214" t="n">
        <v>-0.2</v>
      </c>
      <c r="N293" s="212" t="n"/>
      <c r="O293" s="212" t="n"/>
      <c r="P293" s="212" t="n"/>
      <c r="Q293" s="212" t="n"/>
      <c r="R293" s="212" t="n"/>
      <c r="S293" s="212" t="n"/>
      <c r="T293" s="212" t="n"/>
      <c r="U293" s="214" t="n">
        <v>-0.25</v>
      </c>
      <c r="V293" s="212" t="n"/>
      <c r="W293" s="212" t="n"/>
      <c r="X293" s="209" t="inlineStr">
        <is>
          <t>Schilddruesenhormon</t>
        </is>
      </c>
      <c r="Y293" s="209" t="inlineStr">
        <is>
          <t>B</t>
        </is>
      </c>
      <c r="Z293" s="209" t="n"/>
      <c r="AA293" s="209" t="inlineStr">
        <is>
          <t>TSH, fT3 und fT4 im Normbereich, Ruhepuls unauffaellig.</t>
        </is>
      </c>
      <c r="AB293" s="209" t="inlineStr">
        <is>
          <t>Baut nicht nur Fett ab, sondern auch Muskel - daher der Minuseintrag beim Muskelaufbau. Am Herzen Rhythmusstoerungen und bei Dauergebrauch Hypertrophie. Nach dem Absetzen braucht die eigene Achse Zeit.</t>
        </is>
      </c>
    </row>
    <row r="294" ht="91.60344827586206" customHeight="1">
      <c r="A294" s="207" t="inlineStr">
        <is>
          <t>DNP</t>
        </is>
      </c>
      <c r="B294" s="212" t="n"/>
      <c r="C294" s="212" t="n"/>
      <c r="D294" s="212" t="n"/>
      <c r="E294" s="212" t="n"/>
      <c r="F294" s="212" t="n"/>
      <c r="G294" s="212" t="n"/>
      <c r="H294" s="212" t="n"/>
      <c r="I294" s="212" t="n"/>
      <c r="J294" s="214" t="n"/>
      <c r="K294" s="214" t="n">
        <v>-0.3</v>
      </c>
      <c r="L294" s="214" t="n">
        <v>-0.6</v>
      </c>
      <c r="M294" s="212" t="n"/>
      <c r="N294" s="212" t="n"/>
      <c r="O294" s="212" t="n"/>
      <c r="P294" s="212" t="n"/>
      <c r="Q294" s="214" t="n">
        <v>-0.4</v>
      </c>
      <c r="R294" s="214" t="n">
        <v>-0.4</v>
      </c>
      <c r="S294" s="212" t="n"/>
      <c r="T294" s="212" t="n"/>
      <c r="U294" s="212" t="n"/>
      <c r="V294" s="212" t="n"/>
      <c r="W294" s="212" t="n"/>
      <c r="X294" s="209" t="inlineStr">
        <is>
          <t>Entkoppler</t>
        </is>
      </c>
      <c r="Y294" s="209" t="inlineStr">
        <is>
          <t>A</t>
        </is>
      </c>
      <c r="Z294" s="209" t="n"/>
      <c r="AA294" s="209" t="inlineStr">
        <is>
          <t>Es gibt hier keinen Zielwert, der das sicher macht.</t>
        </is>
      </c>
      <c r="AB294" s="209" t="inlineStr">
        <is>
          <t>KEIN PUNKTWERT AUF DIESEM BLATT BILDET DAS RICHTIG AB. DNP entkoppelt die Zellatmung; die toedliche Dosis liegt nah an der wirksamen, und es gibt keinen Gegenspieler. Todesfaelle sind aus normalen Anwendungsdosen dokumentiert, nicht nur aus Ueberdosierungen. Die Zeile steht hier, damit der Score nicht so tut, als waere die Substanz kostenlos - nicht, weil sich das Risiko in Punkten ausdruecken liesse.</t>
        </is>
      </c>
    </row>
    <row r="295" ht="101.7155172413793" customHeight="1">
      <c r="A295" s="207" t="inlineStr">
        <is>
          <t>Rauchen (10 Zigaretten pro Tag)</t>
        </is>
      </c>
      <c r="B295" s="214" t="n"/>
      <c r="C295" s="212" t="n"/>
      <c r="D295" s="214" t="n">
        <v>-0.2</v>
      </c>
      <c r="E295" s="212" t="n">
        <v>-0.15</v>
      </c>
      <c r="F295" s="214" t="n">
        <v>-0.3</v>
      </c>
      <c r="G295" s="212" t="n"/>
      <c r="H295" s="212" t="n"/>
      <c r="I295" s="212" t="n">
        <v>-0.6</v>
      </c>
      <c r="J295" s="214" t="n">
        <v>-0.7</v>
      </c>
      <c r="K295" s="214" t="n">
        <v>-0.2</v>
      </c>
      <c r="L295" s="214" t="n">
        <v>-0.15</v>
      </c>
      <c r="M295" s="214" t="n">
        <v>-0.2</v>
      </c>
      <c r="N295" s="212" t="n">
        <v>-0.45</v>
      </c>
      <c r="O295" s="212" t="n">
        <v>-0.3</v>
      </c>
      <c r="P295" s="212" t="n"/>
      <c r="Q295" s="214" t="n">
        <v>-0.25</v>
      </c>
      <c r="R295" s="212" t="n"/>
      <c r="S295" s="212" t="n"/>
      <c r="T295" s="212" t="n">
        <v>-0.2</v>
      </c>
      <c r="U295" s="212" t="n"/>
      <c r="V295" s="212" t="n"/>
      <c r="W295" s="212" t="n"/>
      <c r="X295" s="209" t="inlineStr">
        <is>
          <t>Rauchen</t>
        </is>
      </c>
      <c r="Y295" s="209" t="inlineStr">
        <is>
          <t>A</t>
        </is>
      </c>
      <c r="Z295" s="209" t="n"/>
      <c r="AA295" s="209" t="inlineStr">
        <is>
          <t>Null. Es gibt keine unbedenkliche Menge.</t>
        </is>
      </c>
      <c r="AB295" s="209" t="inlineStr">
        <is>
          <t>Der groesste Einzelwert dieser Liste steht bei der Gefaesswand, und das ist kein Versehen: aktuelle Raucher haben ein rund fuenffaches Risiko fuer ein Bauchaortenaneurysma, je zehn Zigaretten taeglich kommt ein Faktor 1,9 dazu. In dieser Kategorie steckt seit dieser Fassung auch die Lunge - Emphysem und Aneurysma sind dieselbe Biologie, zerlegtes Elastin. HERZ UND SCHLAGANFALL SKALIEREN NICHT LINEAR: schon eine Zigarette am Tag traegt rund 46 Prozent des Ueberrisikos von zwanzig. Zehn am Tag sind naeher an einer Schachtel als an der Haelfte, Runterrauchen bringt also weit weniger als es sich anfuehlt. Dazu die Raucherpolyglobulie: Kohlenmonoxid bindet Haemoglobin, der Koerper legt Erythrozyten nach - auf einem System, das der Stack ohnehin hochtreibt. NICHT ABGEBILDET: Krebs. Das Modell kennt keine Krebskategorie, deshalb ist der Wert hier eher zu freundlich als zu hart.</t>
        </is>
      </c>
    </row>
    <row r="296" ht="101.7155172413793" customHeight="1">
      <c r="A296" s="207" t="inlineStr">
        <is>
          <t>Alkohol (5 Bier pro Tag)</t>
        </is>
      </c>
      <c r="B296" s="214" t="n"/>
      <c r="C296" s="212" t="n"/>
      <c r="D296" s="214" t="n">
        <v>-0.45</v>
      </c>
      <c r="E296" s="212" t="n"/>
      <c r="F296" s="214" t="n"/>
      <c r="G296" s="212" t="n">
        <v>-0.5</v>
      </c>
      <c r="H296" s="212" t="n"/>
      <c r="I296" s="212" t="n">
        <v>-0.15</v>
      </c>
      <c r="J296" s="214" t="n">
        <v>-0.2</v>
      </c>
      <c r="K296" s="214" t="n">
        <v>-0.45</v>
      </c>
      <c r="L296" s="214" t="n">
        <v>-0.4</v>
      </c>
      <c r="M296" s="214" t="n">
        <v>-0.35</v>
      </c>
      <c r="N296" s="212" t="n"/>
      <c r="O296" s="212" t="n"/>
      <c r="P296" s="212" t="n"/>
      <c r="Q296" s="214" t="n"/>
      <c r="R296" s="212" t="n">
        <v>-0.65</v>
      </c>
      <c r="S296" s="212" t="n"/>
      <c r="T296" s="212" t="n">
        <v>-0.3</v>
      </c>
      <c r="U296" s="212" t="n"/>
      <c r="V296" s="212" t="n"/>
      <c r="W296" s="212" t="n"/>
      <c r="X296" s="209" t="inlineStr">
        <is>
          <t>Alkohol</t>
        </is>
      </c>
      <c r="Y296" s="209" t="inlineStr">
        <is>
          <t>A</t>
        </is>
      </c>
      <c r="Z296" s="209" t="n"/>
      <c r="AA296" s="209" t="inlineStr">
        <is>
          <t>Unter 100 g Reinalkohol pro Woche, das sind rund vier bis fuenf Bier die WOCHE. Fuenf am Tag sind das Sieben- bis Zehnfache davon.</t>
        </is>
      </c>
      <c r="AB296" s="209" t="inlineStr">
        <is>
          <t>Fuenf Bier taeglich sind rund 100 g Reinalkohol am Tag und damit etwa 700 g die Woche. Ab 350 g die Woche kostet Alkohol rund vier bis fuenf Jahre Lebenserwartung ab 40 - das ist die Groessenordnung, in der hier gerechnet wird, und die Menge liegt beim Doppelten dieser Schwelle. Blutdruck steigt dosisabhaengig um grob 1 mmHg je 10 g am Tag, Triglyzeride reagieren stark, Vorhofflimmern und die alkoholische Kardiomyopathie kommen bei dieser Dauerlast dazu, und die Leber ist das Organ, das zuerst nachgibt. KEIN HDL-PLUS: Alkohol hebt das HDL messbar, aber Mendelsche Randomisierung zeigt, dass dieses HDL nicht schuetzt. Ein Pluszeichen dafuer waere geschoent. NICHT ABGEBILDET: Krebs - Alkohol ist als Gruppe-1-Karzinogen eingestuft, das Modell hat dafuer keine Kategorie.</t>
        </is>
      </c>
    </row>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c r="A330" s="197" t="inlineStr">
        <is>
          <t>Kopplung: wovon haengt die Wirkung ab</t>
        </is>
      </c>
    </row>
    <row r="331" ht="28" customHeight="1">
      <c r="A331" s="205" t="inlineStr">
        <is>
          <t>Gleiche Anordnung wie die Matrix. In der Zelle steht, WELCHER Messwert steuert, ob die Wirkung noch etwas bringt, und wie viel uebrig bleibt, wenn dieser Wert schon optimal ist:      Wirkung = Faktor * ( Rest + (1 - Rest) * Stufe des Messwerts )</t>
        </is>
      </c>
    </row>
    <row r="332" ht="28" customHeight="1">
      <c r="A332" s="205" t="inlineStr">
        <is>
          <t>'LDL:0,00' heisst voll an das LDL gekoppelt - bei LDL unter 1,7 kein Effekt mehr. 'BD:0,50' heisst, die Haelfte wirkt auch bei gutem Blutdruck weiter. Ein Strich heisst entkoppelt: wirkt immer voll, unabhaengig von jedem Messwert.</t>
        </is>
      </c>
    </row>
    <row r="333" ht="28" customHeight="1">
      <c r="A333" s="205" t="inlineStr">
        <is>
          <t>Kuerzel: BD Blutdruck, HK Haematokrit, LDL, HDL, TG Triglyzeride, GLU Nuechternglukose, CYS Cystatin C. Schaedliche Faktoren (negative Werte in der Matrix) werden NIE gedaempft - eine Nebenwirkung verschwindet nicht dadurch, dass der Ausgangswert gut ist.</t>
        </is>
      </c>
    </row>
    <row r="334"/>
    <row r="335" ht="179.4" customHeight="1">
      <c r="A335" s="198" t="inlineStr">
        <is>
          <t>Substanz</t>
        </is>
      </c>
      <c r="B335" s="216" t="inlineStr">
        <is>
          <t>Aromatase/E2</t>
        </is>
      </c>
      <c r="C335" s="216" t="inlineStr">
        <is>
          <t>5a-Reduktase</t>
        </is>
      </c>
      <c r="D335" s="216" t="inlineStr">
        <is>
          <t>Blutdruck/RAAS</t>
        </is>
      </c>
      <c r="E335" s="216" t="inlineStr">
        <is>
          <t>Blutfette-LDL</t>
        </is>
      </c>
      <c r="F335" s="216" t="inlineStr">
        <is>
          <t>Blutfette-HDL</t>
        </is>
      </c>
      <c r="G335" s="216" t="inlineStr">
        <is>
          <t>Blutfette-TG</t>
        </is>
      </c>
      <c r="H335" s="216" t="inlineStr">
        <is>
          <t>Blutfette-Lp(a)</t>
        </is>
      </c>
      <c r="I335" s="216" t="inlineStr">
        <is>
          <t>Gefaesse/Atherosklerose</t>
        </is>
      </c>
      <c r="J335" s="216" t="inlineStr">
        <is>
          <t>Gefaesswand/Aorta/Lunge</t>
        </is>
      </c>
      <c r="K335" s="216" t="inlineStr">
        <is>
          <t>Psyche</t>
        </is>
      </c>
      <c r="L335" s="216" t="inlineStr">
        <is>
          <t>Herzrhythmus</t>
        </is>
      </c>
      <c r="M335" s="216" t="inlineStr">
        <is>
          <t>Herzmuskel/Hypertrophie</t>
        </is>
      </c>
      <c r="N335" s="216" t="inlineStr">
        <is>
          <t>Thrombose/Blutgerinnung</t>
        </is>
      </c>
      <c r="O335" s="216" t="inlineStr">
        <is>
          <t>Haematokrit/Blutdicke</t>
        </is>
      </c>
      <c r="P335" s="216" t="inlineStr">
        <is>
          <t>Eisenstoffwechsel</t>
        </is>
      </c>
      <c r="Q335" s="216" t="inlineStr">
        <is>
          <t>Nierenfunktion</t>
        </is>
      </c>
      <c r="R335" s="216" t="inlineStr">
        <is>
          <t>Leber allgemein</t>
        </is>
      </c>
      <c r="S335" s="216" t="inlineStr">
        <is>
          <t>Leber: Reaktion auf Orale</t>
        </is>
      </c>
      <c r="T335" s="216" t="inlineStr">
        <is>
          <t>Glukosestoffwechsel</t>
        </is>
      </c>
      <c r="U335" s="216" t="inlineStr">
        <is>
          <t>Muskelaufbau</t>
        </is>
      </c>
      <c r="V335" s="216" t="inlineStr">
        <is>
          <t>Androgen-Abbau/Metabolismus</t>
        </is>
      </c>
      <c r="W335" s="216" t="inlineStr">
        <is>
          <t>Haarausfall (AGA)</t>
        </is>
      </c>
      <c r="X335" s="198" t="inlineStr">
        <is>
          <t>Wirkstoffklasse</t>
        </is>
      </c>
      <c r="Y335" s="198" t="inlineStr">
        <is>
          <t>Evidenz</t>
        </is>
      </c>
      <c r="Z335" s="198" t="inlineStr">
        <is>
          <t>Anmerkung</t>
        </is>
      </c>
    </row>
    <row r="336" ht="97.94827586206897" customHeight="1">
      <c r="A336" s="207" t="inlineStr">
        <is>
          <t>Statin</t>
        </is>
      </c>
      <c r="B336" s="212" t="n"/>
      <c r="C336" s="212" t="n"/>
      <c r="D336" s="212" t="n"/>
      <c r="E336" s="215" t="inlineStr">
        <is>
          <t>LDL:0.00</t>
        </is>
      </c>
      <c r="F336" s="212" t="n"/>
      <c r="G336" s="212" t="n"/>
      <c r="H336" s="212" t="n"/>
      <c r="I336" s="215" t="inlineStr">
        <is>
          <t>LDL:0.10</t>
        </is>
      </c>
      <c r="J336" s="212" t="n"/>
      <c r="K336" s="212" t="n"/>
      <c r="L336" s="212" t="n"/>
      <c r="M336" s="212" t="n"/>
      <c r="N336" s="212" t="n"/>
      <c r="O336" s="212" t="n"/>
      <c r="P336" s="212" t="n"/>
      <c r="Q336" s="212" t="n"/>
      <c r="R336" s="212" t="n"/>
      <c r="S336" s="212" t="n"/>
      <c r="T336" s="212" t="inlineStr">
        <is>
          <t>-</t>
        </is>
      </c>
      <c r="U336" s="212" t="n"/>
      <c r="V336" s="212" t="n"/>
      <c r="W336" s="212" t="n"/>
      <c r="X336" s="209" t="inlineStr">
        <is>
          <t>Statin/PCSK9</t>
        </is>
      </c>
      <c r="Y336" s="209" t="inlineStr">
        <is>
          <t>A</t>
        </is>
      </c>
      <c r="Z336" s="209" t="inlineStr">
        <is>
          <t>BESONDERHEITEN: Rosuvastatin und Atorvastatin sind die potentesten, Pravastatin das vertraeglichste bei Muskelproblemen, Simvastatin das mit dem hoechsten Myopathierisiko. Monacolin K aus rotem Reis IST Lovastatin - nie zusaetzlich zu einem verschriebenen Statin. KOPPLUNG: auch der Plaque-Nutzen haengt am LDL, nur rund 10 Prozent laufen ueber die pleiotropen Effekte. Bei LDL unter 1,7 bringt ein Statin deshalb praktisch nichts mehr.</t>
        </is>
      </c>
    </row>
    <row r="337" ht="58.0948275862069" customHeight="1">
      <c r="A337" s="207" t="inlineStr">
        <is>
          <t>Ezetimib</t>
        </is>
      </c>
      <c r="B337" s="212" t="n"/>
      <c r="C337" s="212" t="n"/>
      <c r="D337" s="212" t="n"/>
      <c r="E337" s="215" t="inlineStr">
        <is>
          <t>LDL:0.00</t>
        </is>
      </c>
      <c r="F337" s="212" t="n"/>
      <c r="G337" s="212" t="n"/>
      <c r="H337" s="212" t="n"/>
      <c r="I337" s="215" t="inlineStr">
        <is>
          <t>LDL:0.00</t>
        </is>
      </c>
      <c r="J337" s="212" t="n"/>
      <c r="K337" s="212" t="n"/>
      <c r="L337" s="212" t="n"/>
      <c r="M337" s="212" t="n"/>
      <c r="N337" s="212" t="n"/>
      <c r="O337" s="212" t="n"/>
      <c r="P337" s="212" t="n"/>
      <c r="Q337" s="212" t="n"/>
      <c r="R337" s="212" t="n"/>
      <c r="S337" s="212" t="n"/>
      <c r="T337" s="212" t="n"/>
      <c r="U337" s="212" t="n"/>
      <c r="V337" s="212" t="n"/>
      <c r="W337" s="212" t="n"/>
      <c r="X337" s="209" t="inlineStr">
        <is>
          <t>Cholesterin-Resorptionshemmer</t>
        </is>
      </c>
      <c r="Y337" s="209" t="inlineStr">
        <is>
          <t>A</t>
        </is>
      </c>
      <c r="Z337" s="209" t="inlineStr">
        <is>
          <t>Rund 20 Prozent LDL-Senkung auf der Aufnahmeseite statt der Syntheseseite. KOPPLUNG: wirkt ausschliesslich ueber das LDL, deshalb Rest 0 in beiden Kategorien - IMPROVE-IT zeigte den Nutzen exakt proportional zur erreichten LDL-Senkung.</t>
        </is>
      </c>
    </row>
    <row r="338" ht="51.55172413793103" customHeight="1">
      <c r="A338" s="207" t="inlineStr">
        <is>
          <t>Bempedoinsaeure</t>
        </is>
      </c>
      <c r="B338" s="212" t="n"/>
      <c r="C338" s="212" t="n"/>
      <c r="D338" s="212" t="n"/>
      <c r="E338" s="215" t="inlineStr">
        <is>
          <t>LDL:0.00</t>
        </is>
      </c>
      <c r="F338" s="212" t="n"/>
      <c r="G338" s="212" t="n"/>
      <c r="H338" s="212" t="n"/>
      <c r="I338" s="215" t="inlineStr">
        <is>
          <t>LDL:0.00</t>
        </is>
      </c>
      <c r="J338" s="212" t="n"/>
      <c r="K338" s="212" t="n"/>
      <c r="L338" s="212" t="n"/>
      <c r="M338" s="212" t="n"/>
      <c r="N338" s="212" t="n"/>
      <c r="O338" s="212" t="n"/>
      <c r="P338" s="212" t="n"/>
      <c r="Q338" s="212" t="n"/>
      <c r="R338" s="212" t="n"/>
      <c r="S338" s="212" t="n"/>
      <c r="T338" s="212" t="n"/>
      <c r="U338" s="212" t="n"/>
      <c r="V338" s="212" t="n"/>
      <c r="W338" s="212" t="n"/>
      <c r="X338" s="209" t="inlineStr">
        <is>
          <t>ACL-Hemmer</t>
        </is>
      </c>
      <c r="Y338" s="209" t="inlineStr">
        <is>
          <t>B</t>
        </is>
      </c>
      <c r="Z338" s="209" t="inlineStr">
        <is>
          <t>BESONDERHEIT: wird erst in der Leber aktiviert und erreicht den Muskel praktisch nicht. Damit faellt die Myopathie weg - fuer jemanden, der schwer trainiert, der eigentliche Punkt gegenueber dem Statin.</t>
        </is>
      </c>
    </row>
    <row r="339" ht="49.76724137931034" customHeight="1">
      <c r="A339" s="207" t="inlineStr">
        <is>
          <t>PCSK9-Hemmer oder Inclisiran</t>
        </is>
      </c>
      <c r="B339" s="212" t="n"/>
      <c r="C339" s="212" t="n"/>
      <c r="D339" s="212" t="n"/>
      <c r="E339" s="215" t="inlineStr">
        <is>
          <t>LDL:0.00</t>
        </is>
      </c>
      <c r="F339" s="212" t="n"/>
      <c r="G339" s="212" t="n"/>
      <c r="H339" s="212" t="inlineStr">
        <is>
          <t>-</t>
        </is>
      </c>
      <c r="I339" s="215" t="inlineStr">
        <is>
          <t>LDL:0.10</t>
        </is>
      </c>
      <c r="J339" s="212" t="n"/>
      <c r="K339" s="212" t="n"/>
      <c r="L339" s="212" t="n"/>
      <c r="M339" s="212" t="n"/>
      <c r="N339" s="212" t="n"/>
      <c r="O339" s="212" t="n"/>
      <c r="P339" s="212" t="n"/>
      <c r="Q339" s="212" t="n"/>
      <c r="R339" s="212" t="n"/>
      <c r="S339" s="212" t="n"/>
      <c r="T339" s="212" t="n"/>
      <c r="U339" s="212" t="n"/>
      <c r="V339" s="212" t="n"/>
      <c r="W339" s="212" t="n"/>
      <c r="X339" s="209" t="inlineStr">
        <is>
          <t>Statin/PCSK9</t>
        </is>
      </c>
      <c r="Y339" s="209" t="inlineStr">
        <is>
          <t>A</t>
        </is>
      </c>
      <c r="Z339" s="209" t="inlineStr">
        <is>
          <t>BESONDERHEIT: derzeit das einzige Mittel, das Lp(a) ueberhaupt senkt. KOPPLUNG: die Lp(a)-Wirkung ist entkoppelt, weil es fuer Lp(a) keinen Eingabewert gibt - sie bleibt also immer voll stehen.</t>
        </is>
      </c>
    </row>
    <row r="340" ht="89.62068965517241" customHeight="1">
      <c r="A340" s="207" t="inlineStr">
        <is>
          <t>Sartan (ARB)</t>
        </is>
      </c>
      <c r="B340" s="212" t="n"/>
      <c r="C340" s="212" t="n"/>
      <c r="D340" s="215" t="inlineStr">
        <is>
          <t>BD:0.15</t>
        </is>
      </c>
      <c r="E340" s="212" t="n"/>
      <c r="F340" s="212" t="n"/>
      <c r="G340" s="212" t="n"/>
      <c r="H340" s="212" t="n"/>
      <c r="I340" s="212" t="n"/>
      <c r="J340" s="212" t="inlineStr">
        <is>
          <t>BD:0.30</t>
        </is>
      </c>
      <c r="K340" s="212" t="n"/>
      <c r="L340" s="212" t="n"/>
      <c r="M340" s="215" t="inlineStr">
        <is>
          <t>BD:0.50</t>
        </is>
      </c>
      <c r="N340" s="212" t="n"/>
      <c r="O340" s="212" t="n"/>
      <c r="P340" s="212" t="n"/>
      <c r="Q340" s="212" t="inlineStr">
        <is>
          <t>-</t>
        </is>
      </c>
      <c r="R340" s="212" t="n"/>
      <c r="S340" s="212" t="n"/>
      <c r="T340" s="212" t="n"/>
      <c r="U340" s="212" t="n"/>
      <c r="V340" s="212" t="n"/>
      <c r="W340" s="212" t="n"/>
      <c r="X340" s="209" t="inlineStr">
        <is>
          <t>RAAS-Blocker</t>
        </is>
      </c>
      <c r="Y340" s="209" t="inlineStr">
        <is>
          <t>A</t>
        </is>
      </c>
      <c r="Z340" s="209" t="inlineStr">
        <is>
          <t>BESONDERHEIT TELMISARTAN: partielle PPAR-gamma-Aktivitaet, daher ein kleiner Stoffwechselbonus, den die anderen Sartane nicht haben, dazu 24 Stunden Wirkdauer. KOPPLUNG: am Herzmuskel bleibt die Haelfte auch bei gutem Blutdruck stehen - die Massenreduktion geht nachweislich ueber den reinen Druckeffekt hinaus. Die Niere ist ganz entkoppelt, die Nierenprotektion haengt nicht am Ausgangsdruck.</t>
        </is>
      </c>
    </row>
    <row r="341" ht="103.8965517241379" customHeight="1">
      <c r="A341" s="207" t="inlineStr">
        <is>
          <t>ACE-Hemmer</t>
        </is>
      </c>
      <c r="B341" s="212" t="n"/>
      <c r="C341" s="212" t="n"/>
      <c r="D341" s="215" t="inlineStr">
        <is>
          <t>BD:0.15</t>
        </is>
      </c>
      <c r="E341" s="212" t="n"/>
      <c r="F341" s="212" t="n"/>
      <c r="G341" s="212" t="n"/>
      <c r="H341" s="212" t="n"/>
      <c r="I341" s="212" t="n"/>
      <c r="J341" s="212" t="inlineStr">
        <is>
          <t>BD:0.30</t>
        </is>
      </c>
      <c r="K341" s="212" t="n"/>
      <c r="L341" s="212" t="n"/>
      <c r="M341" s="215" t="inlineStr">
        <is>
          <t>BD:0.50</t>
        </is>
      </c>
      <c r="N341" s="212" t="n"/>
      <c r="O341" s="212" t="n"/>
      <c r="P341" s="212" t="n"/>
      <c r="Q341" s="212" t="inlineStr">
        <is>
          <t>-</t>
        </is>
      </c>
      <c r="R341" s="212" t="n"/>
      <c r="S341" s="212" t="n"/>
      <c r="T341" s="212" t="n"/>
      <c r="U341" s="212" t="n"/>
      <c r="V341" s="212" t="n"/>
      <c r="W341" s="212" t="n"/>
      <c r="X341" s="209" t="inlineStr">
        <is>
          <t>RAAS-Blocker</t>
        </is>
      </c>
      <c r="Y341" s="209" t="inlineStr">
        <is>
          <t>A</t>
        </is>
      </c>
      <c r="Z341" s="209" t="inlineStr">
        <is>
          <t>Gleiche Kaskade wie das Sartan, eine Stufe frueher. Reizhusten ist der haeufigste Wechselgrund. ZUR NIERE: ACE-Hemmer sind entgegen einer verbreiteten Annahme genauso nierenprotektiv wie Sartane - das ist eine der am besten belegten Indikationen ueberhaupt (Captopril-Studie, REIN, AIPRI), und die Leitlinien fuehren beide Klassen dafuer gleichwertig. Der Unterschied liegt bei Husten und Angiooedem, nicht an der Niere. Deshalb hier dieselben Werte wie beim Sartan.</t>
        </is>
      </c>
    </row>
    <row r="342" ht="85.85344827586206" customHeight="1">
      <c r="A342" s="207" t="inlineStr">
        <is>
          <t>Amlodipin (Calciumantagonist)</t>
        </is>
      </c>
      <c r="B342" s="212" t="n"/>
      <c r="C342" s="212" t="n"/>
      <c r="D342" s="215" t="inlineStr">
        <is>
          <t>BD:0.10</t>
        </is>
      </c>
      <c r="E342" s="212" t="n"/>
      <c r="F342" s="212" t="n"/>
      <c r="G342" s="212" t="n"/>
      <c r="H342" s="212" t="n"/>
      <c r="I342" s="212" t="inlineStr">
        <is>
          <t>-</t>
        </is>
      </c>
      <c r="J342" s="212" t="inlineStr">
        <is>
          <t>BD:0.25</t>
        </is>
      </c>
      <c r="K342" s="212" t="n"/>
      <c r="L342" s="212" t="n"/>
      <c r="M342" s="215" t="inlineStr">
        <is>
          <t>BD:0.60</t>
        </is>
      </c>
      <c r="N342" s="212" t="n"/>
      <c r="O342" s="212" t="n"/>
      <c r="P342" s="212" t="n"/>
      <c r="Q342" s="212" t="n"/>
      <c r="R342" s="212" t="n"/>
      <c r="S342" s="212" t="n"/>
      <c r="T342" s="212" t="n"/>
      <c r="U342" s="212" t="n"/>
      <c r="V342" s="212" t="n"/>
      <c r="W342" s="212" t="n"/>
      <c r="X342" s="209" t="inlineStr">
        <is>
          <t>Calciumantagonist</t>
        </is>
      </c>
      <c r="Y342" s="209" t="inlineStr">
        <is>
          <t>A</t>
        </is>
      </c>
      <c r="Z342" s="209" t="inlineStr">
        <is>
          <t>Senkt zentralen Druck und Gefaesssteifigkeit, entlastet also die Aortenwand. ACHTUNG BEI BINDEGEWEBSSCHWAECHE: bei Marfan gibt es Daten, nach denen Calciumantagonisten Aneurysma und Dissektion eher verschlechtern. Wer eine bekannte Bindegewebserkrankung oder eine erweiterte Aortenwurzel hat, klaert das vor der Einnahme ab.</t>
        </is>
      </c>
    </row>
    <row r="343" ht="52.14655172413793" customHeight="1">
      <c r="A343" s="207" t="inlineStr">
        <is>
          <t>Nebivolol (Betablocker)</t>
        </is>
      </c>
      <c r="B343" s="212" t="n"/>
      <c r="C343" s="212" t="n"/>
      <c r="D343" s="215" t="inlineStr">
        <is>
          <t>BD:0.10</t>
        </is>
      </c>
      <c r="E343" s="212" t="n"/>
      <c r="F343" s="212" t="n"/>
      <c r="G343" s="212" t="n"/>
      <c r="H343" s="212" t="n"/>
      <c r="I343" s="212" t="n"/>
      <c r="J343" s="212" t="inlineStr">
        <is>
          <t>BD:0.30</t>
        </is>
      </c>
      <c r="K343" s="212" t="n"/>
      <c r="L343" s="212" t="inlineStr">
        <is>
          <t>-</t>
        </is>
      </c>
      <c r="M343" s="215" t="inlineStr">
        <is>
          <t>BD:0.50</t>
        </is>
      </c>
      <c r="N343" s="212" t="n"/>
      <c r="O343" s="212" t="n"/>
      <c r="P343" s="212" t="n"/>
      <c r="Q343" s="212" t="n"/>
      <c r="R343" s="212" t="n"/>
      <c r="S343" s="212" t="n"/>
      <c r="T343" s="212" t="n"/>
      <c r="U343" s="212" t="n"/>
      <c r="V343" s="212" t="n"/>
      <c r="W343" s="212" t="n"/>
      <c r="X343" s="209" t="inlineStr">
        <is>
          <t>Betablocker</t>
        </is>
      </c>
      <c r="Y343" s="209" t="inlineStr">
        <is>
          <t>B</t>
        </is>
      </c>
      <c r="Z343" s="209" t="inlineStr">
        <is>
          <t>Der Betablocker mit NO-vermittelter Gefaesserweiterung und dem geringsten Einfluss auf die Blutfette. KOPPLUNG: die Rhythmuswirkung ist entkoppelt - die Frequenzkontrolle haengt nicht am Ausgangsblutdruck.</t>
        </is>
      </c>
    </row>
    <row r="344" ht="43.62068965517241" customHeight="1">
      <c r="A344" s="207" t="inlineStr">
        <is>
          <t>Tadalafil niedrig dosiert</t>
        </is>
      </c>
      <c r="B344" s="212" t="n"/>
      <c r="C344" s="212" t="n"/>
      <c r="D344" s="215" t="inlineStr">
        <is>
          <t>BD:0.30</t>
        </is>
      </c>
      <c r="E344" s="212" t="n"/>
      <c r="F344" s="212" t="n"/>
      <c r="G344" s="212" t="n"/>
      <c r="H344" s="212" t="n"/>
      <c r="I344" s="212" t="inlineStr">
        <is>
          <t>-</t>
        </is>
      </c>
      <c r="J344" s="212" t="n"/>
      <c r="K344" s="212" t="n"/>
      <c r="L344" s="212" t="n"/>
      <c r="M344" s="212" t="inlineStr">
        <is>
          <t>-</t>
        </is>
      </c>
      <c r="N344" s="212" t="n"/>
      <c r="O344" s="212" t="n"/>
      <c r="P344" s="212" t="n"/>
      <c r="Q344" s="212" t="n"/>
      <c r="R344" s="212" t="n"/>
      <c r="S344" s="212" t="n"/>
      <c r="T344" s="212" t="n"/>
      <c r="U344" s="212" t="n"/>
      <c r="V344" s="212" t="n"/>
      <c r="W344" s="212" t="n"/>
      <c r="X344" s="209" t="inlineStr">
        <is>
          <t>PDE5-Hemmer</t>
        </is>
      </c>
      <c r="Y344" s="209" t="inlineStr">
        <is>
          <t>C</t>
        </is>
      </c>
      <c r="Z344" s="209" t="inlineStr">
        <is>
          <t>Taeglich niedrig dosiert verbessert es die Endothelfunktion und senkt den Blutdruck leicht. Die Daten zur Hypertrophie stammen aus kleinen Studien, daher Stufe C.</t>
        </is>
      </c>
    </row>
    <row r="345" ht="38.06896551724138" customHeight="1">
      <c r="A345" s="207" t="inlineStr">
        <is>
          <t>Blutspende oder Aderlass</t>
        </is>
      </c>
      <c r="B345" s="212" t="n"/>
      <c r="C345" s="212" t="n"/>
      <c r="D345" s="212" t="n"/>
      <c r="E345" s="212" t="n"/>
      <c r="F345" s="212" t="n"/>
      <c r="G345" s="212" t="n"/>
      <c r="H345" s="212" t="n"/>
      <c r="I345" s="212" t="n"/>
      <c r="J345" s="212" t="n"/>
      <c r="K345" s="212" t="n"/>
      <c r="L345" s="212" t="n"/>
      <c r="M345" s="212" t="n"/>
      <c r="N345" s="212" t="n"/>
      <c r="O345" s="215" t="inlineStr">
        <is>
          <t>HK:0.00</t>
        </is>
      </c>
      <c r="P345" s="212" t="inlineStr">
        <is>
          <t>-</t>
        </is>
      </c>
      <c r="Q345" s="212" t="n"/>
      <c r="R345" s="212" t="n"/>
      <c r="S345" s="212" t="n"/>
      <c r="T345" s="212" t="n"/>
      <c r="U345" s="212" t="n"/>
      <c r="V345" s="212" t="n"/>
      <c r="W345" s="212" t="n"/>
      <c r="X345" s="209" t="inlineStr">
        <is>
          <t>Aderlass</t>
        </is>
      </c>
      <c r="Y345" s="209" t="inlineStr">
        <is>
          <t>B</t>
        </is>
      </c>
      <c r="Z345" s="209" t="inlineStr">
        <is>
          <t>Die direkteste und billigste Massnahme ueberhaupt. KOPPLUNG: Rest 0 - bei einem Haematokrit von 44 gibt es schlicht nichts abzulassen.</t>
        </is>
      </c>
    </row>
    <row r="346" ht="88.43103448275862" customHeight="1">
      <c r="A346" s="207" t="inlineStr">
        <is>
          <t>SGLT2-Hemmer</t>
        </is>
      </c>
      <c r="B346" s="212" t="n"/>
      <c r="C346" s="212" t="n"/>
      <c r="D346" s="215" t="inlineStr">
        <is>
          <t>BD:0.20</t>
        </is>
      </c>
      <c r="E346" s="212" t="n"/>
      <c r="F346" s="212" t="n"/>
      <c r="G346" s="212" t="n"/>
      <c r="H346" s="212" t="n"/>
      <c r="I346" s="212" t="n"/>
      <c r="J346" s="212" t="n"/>
      <c r="K346" s="212" t="n"/>
      <c r="L346" s="212" t="n"/>
      <c r="M346" s="212" t="inlineStr">
        <is>
          <t>-</t>
        </is>
      </c>
      <c r="N346" s="212" t="n"/>
      <c r="O346" s="212" t="inlineStr">
        <is>
          <t>-</t>
        </is>
      </c>
      <c r="P346" s="212" t="n"/>
      <c r="Q346" s="212" t="inlineStr">
        <is>
          <t>-</t>
        </is>
      </c>
      <c r="R346" s="212" t="n"/>
      <c r="S346" s="212" t="n"/>
      <c r="T346" s="215" t="inlineStr">
        <is>
          <t>GLU:0.10</t>
        </is>
      </c>
      <c r="U346" s="212" t="n"/>
      <c r="V346" s="212" t="n"/>
      <c r="W346" s="212" t="n"/>
      <c r="X346" s="209" t="inlineStr">
        <is>
          <t>SGLT2</t>
        </is>
      </c>
      <c r="Y346" s="209" t="inlineStr">
        <is>
          <t>A</t>
        </is>
      </c>
      <c r="Z346" s="209" t="inlineStr">
        <is>
          <t>BESONDERHEIT: hebt den Haematokrit um 2 bis 4 Prozentpunkte - auf Kur die falsche Richtung, deshalb die Minuszeile. KOPPLUNG: Niere und Herzmuskel sind ENTKOPPELT. Der Nutzen bei Herzinsuffizienz und Nierenerkrankung ist in DAPA-HF, EMPEROR, DAPA-CKD und EMPA-KIDNEY auch bei Menschen ohne Diabetes belegt - er haengt also nicht am Blutzucker. Nur die Glukosewirkung selbst ist gekoppelt.</t>
        </is>
      </c>
    </row>
    <row r="347" ht="90.61206896551724" customHeight="1">
      <c r="A347" s="207" t="inlineStr">
        <is>
          <t>GLP-1- oder GLP-1/GIP-Agonist</t>
        </is>
      </c>
      <c r="B347" s="212" t="n"/>
      <c r="C347" s="212" t="n"/>
      <c r="D347" s="215" t="inlineStr">
        <is>
          <t>BD:0.25</t>
        </is>
      </c>
      <c r="E347" s="212" t="n"/>
      <c r="F347" s="215" t="inlineStr">
        <is>
          <t>HDL:0.30</t>
        </is>
      </c>
      <c r="G347" s="215" t="inlineStr">
        <is>
          <t>TG:0.30</t>
        </is>
      </c>
      <c r="H347" s="212" t="n"/>
      <c r="I347" s="212" t="inlineStr">
        <is>
          <t>-</t>
        </is>
      </c>
      <c r="J347" s="212" t="n"/>
      <c r="K347" s="212" t="n"/>
      <c r="L347" s="212" t="n"/>
      <c r="M347" s="212" t="n"/>
      <c r="N347" s="212" t="n"/>
      <c r="O347" s="212" t="n"/>
      <c r="P347" s="212" t="n"/>
      <c r="Q347" s="212" t="n"/>
      <c r="R347" s="212" t="inlineStr">
        <is>
          <t>-</t>
        </is>
      </c>
      <c r="S347" s="212" t="n"/>
      <c r="T347" s="215" t="inlineStr">
        <is>
          <t>GLU:0.00</t>
        </is>
      </c>
      <c r="U347" s="212" t="inlineStr">
        <is>
          <t>-</t>
        </is>
      </c>
      <c r="V347" s="212" t="n"/>
      <c r="W347" s="212" t="n"/>
      <c r="X347" s="209" t="inlineStr">
        <is>
          <t>Inkretin</t>
        </is>
      </c>
      <c r="Y347" s="209" t="inlineStr">
        <is>
          <t>A</t>
        </is>
      </c>
      <c r="Z347" s="209" t="inlineStr">
        <is>
          <t>BESONDERHEITEN: Tirzepatid staerker als Semaglutid, Retatrutid nochmal staerker, aber noch nicht zugelassen. Im Defizit geht Magermasse mit runter. KOPPLUNG: bei normalem Blutzucker faellt die Glukosewirkung weg, die Leberwirkung nicht - die Reduktion des Leberfetts laeuft ueber den Gewichtsverlust. Der Gefaessnutzen bleibt zu 60 Prozent stehen, in SELECT profitierten auch Menschen ohne Diabetes.</t>
        </is>
      </c>
    </row>
    <row r="348" ht="53.53448275862068" customHeight="1">
      <c r="A348" s="207" t="inlineStr">
        <is>
          <t>Berberin oder Metformin</t>
        </is>
      </c>
      <c r="B348" s="212" t="n"/>
      <c r="C348" s="212" t="n"/>
      <c r="D348" s="212" t="n"/>
      <c r="E348" s="215" t="inlineStr">
        <is>
          <t>LDL:0.00</t>
        </is>
      </c>
      <c r="F348" s="212" t="n"/>
      <c r="G348" s="215" t="inlineStr">
        <is>
          <t>TG:0.00</t>
        </is>
      </c>
      <c r="H348" s="212" t="n"/>
      <c r="I348" s="212" t="n"/>
      <c r="J348" s="212" t="n"/>
      <c r="K348" s="212" t="n"/>
      <c r="L348" s="212" t="n"/>
      <c r="M348" s="212" t="n"/>
      <c r="N348" s="212" t="n"/>
      <c r="O348" s="212" t="n"/>
      <c r="P348" s="212" t="n"/>
      <c r="Q348" s="212" t="n"/>
      <c r="R348" s="212" t="inlineStr">
        <is>
          <t>-</t>
        </is>
      </c>
      <c r="S348" s="212" t="n"/>
      <c r="T348" s="215" t="inlineStr">
        <is>
          <t>GLU:0.00</t>
        </is>
      </c>
      <c r="U348" s="212" t="n"/>
      <c r="V348" s="212" t="n"/>
      <c r="W348" s="212" t="n"/>
      <c r="X348" s="209" t="inlineStr">
        <is>
          <t>Insulinsensitizer</t>
        </is>
      </c>
      <c r="Y348" s="209" t="inlineStr">
        <is>
          <t>B</t>
        </is>
      </c>
      <c r="Z348" s="209" t="inlineStr">
        <is>
          <t>BESONDERHEITEN: Berberin ist frei verkaeuflich und in der Szene Standard, die Datenlage besteht aber ueberwiegend aus kleinen, methodisch schwachen Studien. Metformin ist gut belegt, gilt hier aber als oldschool.</t>
        </is>
      </c>
    </row>
    <row r="349" ht="66.81896551724138" customHeight="1">
      <c r="A349" s="207" t="inlineStr">
        <is>
          <t>Omega-3 hochdosiert</t>
        </is>
      </c>
      <c r="B349" s="212" t="n"/>
      <c r="C349" s="212" t="n"/>
      <c r="D349" s="212" t="n"/>
      <c r="E349" s="212" t="n"/>
      <c r="F349" s="212" t="n"/>
      <c r="G349" s="215" t="inlineStr">
        <is>
          <t>TG:0.10</t>
        </is>
      </c>
      <c r="H349" s="212" t="n"/>
      <c r="I349" s="212" t="inlineStr">
        <is>
          <t>-</t>
        </is>
      </c>
      <c r="J349" s="212" t="n"/>
      <c r="K349" s="212" t="inlineStr">
        <is>
          <t>-</t>
        </is>
      </c>
      <c r="L349" s="212" t="n"/>
      <c r="M349" s="212" t="n"/>
      <c r="N349" s="212" t="n"/>
      <c r="O349" s="212" t="n"/>
      <c r="P349" s="212" t="n"/>
      <c r="Q349" s="212" t="n"/>
      <c r="R349" s="212" t="n"/>
      <c r="S349" s="212" t="n"/>
      <c r="T349" s="212" t="n"/>
      <c r="U349" s="212" t="n"/>
      <c r="V349" s="212" t="n"/>
      <c r="W349" s="212" t="n"/>
      <c r="X349" s="209" t="inlineStr">
        <is>
          <t>Omega-3</t>
        </is>
      </c>
      <c r="Y349" s="209" t="inlineStr">
        <is>
          <t>A</t>
        </is>
      </c>
      <c r="Z349" s="209" t="inlineStr">
        <is>
          <t>BESONDERHEIT: reines EPA (Icosapent Ethyl) hebt das LDL nicht an und ist das einzige Omega-3-Praeparat mit positiver Endpunktstudie. KOPPLUNG: der Gefaessnutzen aus REDUCE-IT liess sich nur zum Teil ueber die Triglyzeridsenkung erklaeren, deshalb bleibt er weitgehend entkoppelt.</t>
        </is>
      </c>
    </row>
    <row r="350" ht="95.17241379310343" customHeight="1">
      <c r="A350" s="207" t="inlineStr">
        <is>
          <t>OTC-Stack komplett</t>
        </is>
      </c>
      <c r="B350" s="212" t="n"/>
      <c r="C350" s="212" t="n"/>
      <c r="D350" s="215" t="inlineStr">
        <is>
          <t>BD:0.15</t>
        </is>
      </c>
      <c r="E350" s="215" t="inlineStr">
        <is>
          <t>LDL:0.00</t>
        </is>
      </c>
      <c r="F350" s="215" t="inlineStr">
        <is>
          <t>HDL:0.00</t>
        </is>
      </c>
      <c r="G350" s="215" t="inlineStr">
        <is>
          <t>TG:0.10</t>
        </is>
      </c>
      <c r="H350" s="212" t="n"/>
      <c r="I350" s="212" t="n"/>
      <c r="J350" s="212" t="n"/>
      <c r="K350" s="212" t="inlineStr">
        <is>
          <t>-</t>
        </is>
      </c>
      <c r="L350" s="212" t="n"/>
      <c r="M350" s="212" t="n"/>
      <c r="N350" s="212" t="n"/>
      <c r="O350" s="212" t="n"/>
      <c r="P350" s="212" t="n"/>
      <c r="Q350" s="212" t="n"/>
      <c r="R350" s="212" t="inlineStr">
        <is>
          <t>-</t>
        </is>
      </c>
      <c r="S350" s="212" t="n"/>
      <c r="T350" s="215" t="inlineStr">
        <is>
          <t>GLU:0.00</t>
        </is>
      </c>
      <c r="U350" s="212" t="n"/>
      <c r="V350" s="212" t="n"/>
      <c r="W350" s="212" t="n"/>
      <c r="X350" s="209" t="inlineStr">
        <is>
          <t>OTC-Stack</t>
        </is>
      </c>
      <c r="Y350" s="209" t="inlineStr">
        <is>
          <t>B/C</t>
        </is>
      </c>
      <c r="Z350" s="209" t="inlineStr">
        <is>
          <t>ENTHAELT: Citrus-Bergamotte und Monacolin K auf LDL und HDL, hochdosiertes Omega-3 auf die Triglyzeride, Berberin auf die Glukose, L-Citrullin, Nitrat, Kalium und Taurin auf den Blutdruck, TUDCA und NAC auf die Leber. WER DIE EINZELPOSTEN SCHON ANGEHAKT HAT, HAKT DEN STACK NICHT ZUSAETZLICH AN. Monacolin K IST Lovastatin: nie zusaetzlich zu einem Statin, in der EU seit 2022 unter 3 mg begrenzt, Verbot 2026 auf dem Weg.</t>
        </is>
      </c>
    </row>
    <row r="351" ht="57.30172413793103" customHeight="1">
      <c r="A351" s="207" t="inlineStr">
        <is>
          <t>Leber-Supplemente (TUDCA, NAC)</t>
        </is>
      </c>
      <c r="B351" s="212" t="n"/>
      <c r="C351" s="212" t="n"/>
      <c r="D351" s="212" t="n"/>
      <c r="E351" s="212" t="n"/>
      <c r="F351" s="212" t="n"/>
      <c r="G351" s="212" t="n"/>
      <c r="H351" s="212" t="n"/>
      <c r="I351" s="212" t="n"/>
      <c r="J351" s="212" t="n"/>
      <c r="K351" s="212" t="n"/>
      <c r="L351" s="212" t="n"/>
      <c r="M351" s="212" t="n"/>
      <c r="N351" s="212" t="n"/>
      <c r="O351" s="212" t="n"/>
      <c r="P351" s="212" t="n"/>
      <c r="Q351" s="212" t="n"/>
      <c r="R351" s="212" t="inlineStr">
        <is>
          <t>-</t>
        </is>
      </c>
      <c r="S351" s="212" t="n"/>
      <c r="T351" s="212" t="n"/>
      <c r="U351" s="212" t="n"/>
      <c r="V351" s="212" t="n"/>
      <c r="W351" s="212" t="n"/>
      <c r="X351" s="209" t="inlineStr">
        <is>
          <t>Leber-Supplement</t>
        </is>
      </c>
      <c r="Y351" s="209" t="inlineStr">
        <is>
          <t>C</t>
        </is>
      </c>
      <c r="Z351" s="209" t="inlineStr">
        <is>
          <t>WICHTIG: diese Zeile senkt den Oral-Abzug NICHT. Es gibt keine belastbaren Humandaten, dass TUDCA oder NAC den Schaden 17-alpha-alkylierter Substanzen verhindern. Entkoppelt, weil es fuer die Leber keinen Eingabewert im Blatt gibt.</t>
        </is>
      </c>
    </row>
    <row r="352" ht="65.43103448275862" customHeight="1">
      <c r="A352" s="207" t="inlineStr">
        <is>
          <t>Ausdauertraining und Koerperfett runter</t>
        </is>
      </c>
      <c r="B352" s="212" t="n"/>
      <c r="C352" s="212" t="n"/>
      <c r="D352" s="215" t="inlineStr">
        <is>
          <t>BD:0.35</t>
        </is>
      </c>
      <c r="E352" s="212" t="n"/>
      <c r="F352" s="215" t="inlineStr">
        <is>
          <t>HDL:0.30</t>
        </is>
      </c>
      <c r="G352" s="215" t="inlineStr">
        <is>
          <t>TG:0.30</t>
        </is>
      </c>
      <c r="H352" s="212" t="n"/>
      <c r="I352" s="212" t="inlineStr">
        <is>
          <t>-</t>
        </is>
      </c>
      <c r="J352" s="212" t="inlineStr">
        <is>
          <t>BD:0.40</t>
        </is>
      </c>
      <c r="K352" s="212" t="inlineStr">
        <is>
          <t>-</t>
        </is>
      </c>
      <c r="L352" s="212" t="n"/>
      <c r="M352" s="212" t="inlineStr">
        <is>
          <t>-</t>
        </is>
      </c>
      <c r="N352" s="212" t="n"/>
      <c r="O352" s="212" t="n"/>
      <c r="P352" s="212" t="n"/>
      <c r="Q352" s="212" t="n"/>
      <c r="R352" s="212" t="inlineStr">
        <is>
          <t>-</t>
        </is>
      </c>
      <c r="S352" s="212" t="n"/>
      <c r="T352" s="215" t="inlineStr">
        <is>
          <t>GLU:0.35</t>
        </is>
      </c>
      <c r="U352" s="212" t="n"/>
      <c r="V352" s="212" t="n"/>
      <c r="W352" s="212" t="n"/>
      <c r="X352" s="209" t="inlineStr">
        <is>
          <t>Lifestyle</t>
        </is>
      </c>
      <c r="Y352" s="209" t="inlineStr">
        <is>
          <t>A</t>
        </is>
      </c>
      <c r="Z352" s="209" t="inlineStr">
        <is>
          <t>Das Mittel mit der besten Datenlage auf diesem Blatt, und das einzige mit einem grossen Psyche-Plus. Wirkt bei Depression in der Groessenordnung einer medikamentoesen Behandlung und kostet nichts ausser Zeit.</t>
        </is>
      </c>
    </row>
    <row r="353" ht="30.93103448275862" customHeight="1">
      <c r="A353" s="207" t="inlineStr">
        <is>
          <t>Salzreduktion</t>
        </is>
      </c>
      <c r="B353" s="212" t="n"/>
      <c r="C353" s="212" t="n"/>
      <c r="D353" s="215" t="inlineStr">
        <is>
          <t>BD:0.10</t>
        </is>
      </c>
      <c r="E353" s="212" t="n"/>
      <c r="F353" s="212" t="n"/>
      <c r="G353" s="212" t="n"/>
      <c r="H353" s="212" t="n"/>
      <c r="I353" s="212" t="n"/>
      <c r="J353" s="212" t="inlineStr">
        <is>
          <t>BD:0.20</t>
        </is>
      </c>
      <c r="K353" s="212" t="n"/>
      <c r="L353" s="212" t="n"/>
      <c r="M353" s="212" t="n"/>
      <c r="N353" s="212" t="n"/>
      <c r="O353" s="212" t="n"/>
      <c r="P353" s="212" t="n"/>
      <c r="Q353" s="212" t="n"/>
      <c r="R353" s="212" t="n"/>
      <c r="S353" s="212" t="n"/>
      <c r="T353" s="212" t="n"/>
      <c r="U353" s="212" t="n"/>
      <c r="V353" s="212" t="n"/>
      <c r="W353" s="212" t="n"/>
      <c r="X353" s="209" t="inlineStr">
        <is>
          <t>Ernaehrung</t>
        </is>
      </c>
      <c r="Y353" s="209" t="inlineStr">
        <is>
          <t>A</t>
        </is>
      </c>
      <c r="Z353" s="209" t="inlineStr">
        <is>
          <t>Kostet nichts und wirkt zuverlaessig, besonders bei den salzsensitiven Genotypen dieser Kategorie.</t>
        </is>
      </c>
    </row>
    <row r="354" ht="52.74137931034483" customHeight="1">
      <c r="A354" s="207" t="inlineStr">
        <is>
          <t>Aromatasehemmer</t>
        </is>
      </c>
      <c r="B354" s="212" t="inlineStr">
        <is>
          <t>-</t>
        </is>
      </c>
      <c r="C354" s="212" t="n"/>
      <c r="D354" s="212" t="n"/>
      <c r="E354" s="212" t="n"/>
      <c r="F354" s="212" t="inlineStr">
        <is>
          <t>-</t>
        </is>
      </c>
      <c r="G354" s="212" t="n"/>
      <c r="H354" s="212" t="n"/>
      <c r="I354" s="212" t="n"/>
      <c r="J354" s="212" t="n"/>
      <c r="K354" s="212" t="inlineStr">
        <is>
          <t>-</t>
        </is>
      </c>
      <c r="L354" s="212" t="n"/>
      <c r="M354" s="212" t="n"/>
      <c r="N354" s="212" t="n"/>
      <c r="O354" s="212" t="n"/>
      <c r="P354" s="212" t="n"/>
      <c r="Q354" s="212" t="n"/>
      <c r="R354" s="212" t="n"/>
      <c r="S354" s="212" t="n"/>
      <c r="T354" s="212" t="n"/>
      <c r="U354" s="212" t="n"/>
      <c r="V354" s="212" t="n"/>
      <c r="W354" s="212" t="n"/>
      <c r="X354" s="209" t="inlineStr">
        <is>
          <t>Aromatasehemmer</t>
        </is>
      </c>
      <c r="Y354" s="209" t="inlineStr">
        <is>
          <t>B</t>
        </is>
      </c>
      <c r="Z354" s="209" t="inlineStr">
        <is>
          <t>Ein zu tief gedruecktes E2 kostet Stimmung, Antrieb, Gelenke, Knochendichte und HDL. Deshalb steht hier ein Psyche-Minus, obwohl der Stoff auf dem Papier ein Schutzmittel ist. Niedrigste wirksame Dosis, und nur mit Messwert.</t>
        </is>
      </c>
    </row>
    <row r="355" ht="47.38793103448275" customHeight="1">
      <c r="A355" s="207" t="inlineStr">
        <is>
          <t>5-alpha-Reduktase-Hemmer</t>
        </is>
      </c>
      <c r="B355" s="212" t="n"/>
      <c r="C355" s="212" t="inlineStr">
        <is>
          <t>-</t>
        </is>
      </c>
      <c r="D355" s="212" t="n"/>
      <c r="E355" s="212" t="n"/>
      <c r="F355" s="212" t="n"/>
      <c r="G355" s="212" t="n"/>
      <c r="H355" s="212" t="n"/>
      <c r="I355" s="212" t="n"/>
      <c r="J355" s="212" t="n"/>
      <c r="K355" s="212" t="inlineStr">
        <is>
          <t>-</t>
        </is>
      </c>
      <c r="L355" s="212" t="n"/>
      <c r="M355" s="212" t="inlineStr">
        <is>
          <t>-</t>
        </is>
      </c>
      <c r="N355" s="212" t="n"/>
      <c r="O355" s="212" t="n"/>
      <c r="P355" s="212" t="n"/>
      <c r="Q355" s="212" t="n"/>
      <c r="R355" s="212" t="n"/>
      <c r="S355" s="212" t="n"/>
      <c r="T355" s="212" t="n"/>
      <c r="U355" s="212" t="n"/>
      <c r="V355" s="212" t="n"/>
      <c r="W355" s="212" t="inlineStr">
        <is>
          <t>-</t>
        </is>
      </c>
      <c r="X355" s="209" t="inlineStr">
        <is>
          <t>5AR-Hemmer</t>
        </is>
      </c>
      <c r="Y355" s="209" t="inlineStr">
        <is>
          <t>A</t>
        </is>
      </c>
      <c r="Z355" s="209" t="inlineStr">
        <is>
          <t>ZWEISCHNEIDIG. Weniger DHT heisst weniger androgener Druck auf den Herzmuskel - deshalb steht dort ein Plus. Dem gegenueber steht das groesste Psyche-Minus dieser Liste: anhaltende Depression, Anhedonie und Libidoverlust nach dem Absetzen sind gut dokumentiert, und es gibt ein Suizidalitaets-Signal. Wer dazu neigt oder eine Vorgeschichte hat, bespricht das vorher mit einem Arzt und nicht mit dem Coach.</t>
        </is>
      </c>
    </row>
    <row r="356" ht="39.25862068965517" customHeight="1">
      <c r="A356" s="207" t="inlineStr">
        <is>
          <t>ASS niedrig dosiert</t>
        </is>
      </c>
      <c r="B356" s="212" t="n"/>
      <c r="C356" s="212" t="n"/>
      <c r="D356" s="212" t="n"/>
      <c r="E356" s="212" t="n"/>
      <c r="F356" s="212" t="n"/>
      <c r="G356" s="212" t="n"/>
      <c r="H356" s="212" t="n"/>
      <c r="I356" s="212" t="inlineStr">
        <is>
          <t>-</t>
        </is>
      </c>
      <c r="J356" s="212" t="n"/>
      <c r="K356" s="212" t="n"/>
      <c r="L356" s="212" t="n"/>
      <c r="M356" s="212" t="n"/>
      <c r="N356" s="212" t="inlineStr">
        <is>
          <t>-</t>
        </is>
      </c>
      <c r="O356" s="212" t="n"/>
      <c r="P356" s="212" t="n"/>
      <c r="Q356" s="212" t="n"/>
      <c r="R356" s="212" t="n"/>
      <c r="S356" s="212" t="n"/>
      <c r="T356" s="212" t="n"/>
      <c r="U356" s="212" t="n"/>
      <c r="V356" s="212" t="n"/>
      <c r="W356" s="212" t="n"/>
      <c r="X356" s="209" t="inlineStr">
        <is>
          <t>Thrombozytenhemmer</t>
        </is>
      </c>
      <c r="Y356" s="209" t="inlineStr">
        <is>
          <t>A</t>
        </is>
      </c>
      <c r="Z356" s="209" t="inlineStr">
        <is>
          <t>Wirkt auf Blutplaettchen, also auf die arterielle Seite. Gegen die venoesen Gerinnungsvarianten dieser Kategorie richtet es fast nichts aus.</t>
        </is>
      </c>
    </row>
    <row r="357" ht="37.47413793103448" customHeight="1">
      <c r="A357" s="207" t="inlineStr">
        <is>
          <t>Cabergolin oder P5P</t>
        </is>
      </c>
      <c r="B357" s="212" t="n"/>
      <c r="C357" s="212" t="n"/>
      <c r="D357" s="212" t="n"/>
      <c r="E357" s="212" t="n"/>
      <c r="F357" s="212" t="n"/>
      <c r="G357" s="212" t="n"/>
      <c r="H357" s="212" t="n"/>
      <c r="I357" s="212" t="n"/>
      <c r="J357" s="212" t="n"/>
      <c r="K357" s="212" t="inlineStr">
        <is>
          <t>-</t>
        </is>
      </c>
      <c r="L357" s="212" t="n"/>
      <c r="M357" s="212" t="n"/>
      <c r="N357" s="212" t="n"/>
      <c r="O357" s="212" t="n"/>
      <c r="P357" s="212" t="n"/>
      <c r="Q357" s="212" t="n"/>
      <c r="R357" s="212" t="n"/>
      <c r="S357" s="212" t="n"/>
      <c r="T357" s="212" t="n"/>
      <c r="U357" s="212" t="n"/>
      <c r="V357" s="212" t="n"/>
      <c r="W357" s="212" t="n"/>
      <c r="X357" s="209" t="inlineStr">
        <is>
          <t>Prolaktin</t>
        </is>
      </c>
      <c r="Y357" s="209" t="inlineStr">
        <is>
          <t>B</t>
        </is>
      </c>
      <c r="Z357" s="209" t="inlineStr">
        <is>
          <t>Holt Stimmung und Libido zurueck, wenn ein hohes Prolaktin der Grund war. Cabergolin selbst kann dafuer Impulskontrolle und Schlaf stoeren - niedrig dosieren, und nur mit gemessenem Prolaktin.</t>
        </is>
      </c>
    </row>
    <row r="358" ht="82.87931034482759" customHeight="1">
      <c r="A358" s="207" t="inlineStr">
        <is>
          <t>SERM (Tamoxifen, Raloxifen, Enclomifen)</t>
        </is>
      </c>
      <c r="B358" s="212" t="inlineStr">
        <is>
          <t>-</t>
        </is>
      </c>
      <c r="C358" s="212" t="n"/>
      <c r="D358" s="212" t="n"/>
      <c r="E358" s="212" t="n"/>
      <c r="F358" s="212" t="n"/>
      <c r="G358" s="212" t="n"/>
      <c r="H358" s="212" t="n"/>
      <c r="I358" s="212" t="n"/>
      <c r="J358" s="212" t="n"/>
      <c r="K358" s="212" t="inlineStr">
        <is>
          <t>-</t>
        </is>
      </c>
      <c r="L358" s="212" t="n"/>
      <c r="M358" s="212" t="n"/>
      <c r="N358" s="212" t="n"/>
      <c r="O358" s="212" t="n"/>
      <c r="P358" s="212" t="n"/>
      <c r="Q358" s="212" t="n"/>
      <c r="R358" s="212" t="n"/>
      <c r="S358" s="212" t="n"/>
      <c r="T358" s="212" t="n"/>
      <c r="U358" s="212" t="inlineStr">
        <is>
          <t>-</t>
        </is>
      </c>
      <c r="V358" s="212" t="n"/>
      <c r="W358" s="212" t="n"/>
      <c r="X358" s="209" t="inlineStr">
        <is>
          <t>SERM</t>
        </is>
      </c>
      <c r="Y358" s="209" t="inlineStr">
        <is>
          <t>B</t>
        </is>
      </c>
      <c r="Z358" s="209" t="inlineStr">
        <is>
          <t>Halbes Gesundheitsplus wie der Aromatasehemmer, dafuer Minus beim Muskelaufbau - und ein Psyche-Minus: Stimmungstief, Reizbarkeit und Sehstoerungen sind bei Clomifen haeufig, bei Tamoxifen seltener.</t>
        </is>
      </c>
    </row>
    <row r="359" ht="88.62931034482759" customHeight="1">
      <c r="A359" s="207" t="inlineStr">
        <is>
          <t>Testosteron</t>
        </is>
      </c>
      <c r="B359" s="212" t="n"/>
      <c r="C359" s="212" t="n"/>
      <c r="D359" s="212" t="n"/>
      <c r="E359" s="212" t="n"/>
      <c r="F359" s="212" t="n"/>
      <c r="G359" s="212" t="n"/>
      <c r="H359" s="212" t="n"/>
      <c r="I359" s="212" t="n"/>
      <c r="J359" s="212" t="n"/>
      <c r="K359" s="212" t="n"/>
      <c r="L359" s="212" t="n"/>
      <c r="M359" s="212" t="n"/>
      <c r="N359" s="212" t="n"/>
      <c r="O359" s="212" t="n"/>
      <c r="P359" s="212" t="n"/>
      <c r="Q359" s="212" t="n"/>
      <c r="R359" s="212" t="n"/>
      <c r="S359" s="212" t="n"/>
      <c r="T359" s="212" t="n"/>
      <c r="U359" s="212" t="n"/>
      <c r="V359" s="212" t="n"/>
      <c r="W359" s="212" t="n"/>
      <c r="X359" s="209" t="inlineStr">
        <is>
          <t>Basis</t>
        </is>
      </c>
      <c r="Y359" s="209" t="inlineStr">
        <is>
          <t>A</t>
        </is>
      </c>
      <c r="Z359" s="209" t="inlineStr">
        <is>
          <t>DIE GRUNDLAST. Sie steckt bereits im Gesamt-Load oben und bekommt deshalb hier keine eigenen Faktoren - sonst waere sie doppelt gezaehlt. Alle folgenden Zeilen zeigen, was eine Substanz ZUSAETZLICH zu Testosteron auf einzelne Systeme legt. Testosteron aromatisiert, und das ist fuer die Blutfette ein Vorteil: in Studien verschlechterte gerade das BLOCKIEREN der Aromatase das Lipidprofil.</t>
        </is>
      </c>
    </row>
    <row r="360" ht="74.1551724137931" customHeight="1">
      <c r="A360" s="207" t="inlineStr">
        <is>
          <t>Nandrolon</t>
        </is>
      </c>
      <c r="B360" s="212" t="n"/>
      <c r="C360" s="212" t="n"/>
      <c r="D360" s="212" t="inlineStr">
        <is>
          <t>-</t>
        </is>
      </c>
      <c r="E360" s="212" t="n"/>
      <c r="F360" s="212" t="inlineStr">
        <is>
          <t>-</t>
        </is>
      </c>
      <c r="G360" s="212" t="n"/>
      <c r="H360" s="212" t="n"/>
      <c r="I360" s="212" t="n"/>
      <c r="J360" s="212" t="inlineStr">
        <is>
          <t>-</t>
        </is>
      </c>
      <c r="K360" s="212" t="inlineStr">
        <is>
          <t>-</t>
        </is>
      </c>
      <c r="L360" s="212" t="n"/>
      <c r="M360" s="212" t="inlineStr">
        <is>
          <t>-</t>
        </is>
      </c>
      <c r="N360" s="212" t="n"/>
      <c r="O360" s="212" t="inlineStr">
        <is>
          <t>-</t>
        </is>
      </c>
      <c r="P360" s="212" t="n"/>
      <c r="Q360" s="212" t="n"/>
      <c r="R360" s="212" t="n"/>
      <c r="S360" s="212" t="n"/>
      <c r="T360" s="212" t="n"/>
      <c r="U360" s="212" t="n"/>
      <c r="V360" s="212" t="n"/>
      <c r="W360" s="212" t="n"/>
      <c r="X360" s="209" t="inlineStr">
        <is>
          <t>19-Nor</t>
        </is>
      </c>
      <c r="Y360" s="209" t="inlineStr">
        <is>
          <t>B</t>
        </is>
      </c>
      <c r="Z360" s="209" t="inlineStr">
        <is>
          <t>19-Nor. PROLAKTIN ist der Punkt, den die Liste noch nicht als Kategorie hat - Cabergolin oder P5P gehoeren hier ins Blickfeld, ebenso die progestogene Wirkung. Auf die Blutfette vergleichsweise moderat (rund 25 Prozent HDL-Abfall in einer Crossover-Studie), am Herzmuskel dagegen der auffaelligste der Injizierbaren.</t>
        </is>
      </c>
    </row>
    <row r="361" ht="101.7155172413793" customHeight="1">
      <c r="A361" s="207" t="inlineStr">
        <is>
          <t>Trenbolon</t>
        </is>
      </c>
      <c r="B361" s="212" t="inlineStr">
        <is>
          <t>-</t>
        </is>
      </c>
      <c r="C361" s="212" t="n"/>
      <c r="D361" s="212" t="inlineStr">
        <is>
          <t>-</t>
        </is>
      </c>
      <c r="E361" s="212" t="n"/>
      <c r="F361" s="212" t="inlineStr">
        <is>
          <t>-</t>
        </is>
      </c>
      <c r="G361" s="212" t="n"/>
      <c r="H361" s="212" t="n"/>
      <c r="I361" s="212" t="n"/>
      <c r="J361" s="212" t="inlineStr">
        <is>
          <t>-</t>
        </is>
      </c>
      <c r="K361" s="212" t="inlineStr">
        <is>
          <t>-</t>
        </is>
      </c>
      <c r="L361" s="212" t="inlineStr">
        <is>
          <t>-</t>
        </is>
      </c>
      <c r="M361" s="212" t="inlineStr">
        <is>
          <t>-</t>
        </is>
      </c>
      <c r="N361" s="212" t="n"/>
      <c r="O361" s="212" t="inlineStr">
        <is>
          <t>-</t>
        </is>
      </c>
      <c r="P361" s="212" t="n"/>
      <c r="Q361" s="212" t="inlineStr">
        <is>
          <t>-</t>
        </is>
      </c>
      <c r="R361" s="212" t="n"/>
      <c r="S361" s="212" t="n"/>
      <c r="T361" s="212" t="n"/>
      <c r="U361" s="212" t="n"/>
      <c r="V361" s="212" t="n"/>
      <c r="W361" s="212" t="n"/>
      <c r="X361" s="209" t="inlineStr">
        <is>
          <t>19-Nor</t>
        </is>
      </c>
      <c r="Y361" s="209" t="inlineStr">
        <is>
          <t>B</t>
        </is>
      </c>
      <c r="Z361" s="209" t="inlineStr">
        <is>
          <t>Der Stoff mit dem breitesten Schadensprofil auf diesem Blatt. 19-Nor, aromatisiert nicht (deshalb der E2-Eintrag: fehlendes Estrogen ist fuer Blutfette und Gelenke ein Nachteil, nicht nur fuer die Libido), starke Prolaktin- und Progesteronwirkung, in Fallberichten und Tiermodellen Hinweise auf Nierenschaedigung und Kardiomyopathie. Dazu Schlafstoerungen und Blutdruck. Wer den Score sehen will, ohne ihn zu veraendern, hakt genau diese Zeile an und aus.</t>
        </is>
      </c>
    </row>
    <row r="362" ht="52.9396551724138" customHeight="1">
      <c r="A362" s="207" t="inlineStr">
        <is>
          <t>Boldenon</t>
        </is>
      </c>
      <c r="B362" s="212" t="n"/>
      <c r="C362" s="212" t="n"/>
      <c r="D362" s="212" t="n"/>
      <c r="E362" s="212" t="n"/>
      <c r="F362" s="212" t="inlineStr">
        <is>
          <t>-</t>
        </is>
      </c>
      <c r="G362" s="212" t="n"/>
      <c r="H362" s="212" t="n"/>
      <c r="I362" s="212" t="n"/>
      <c r="J362" s="212" t="inlineStr">
        <is>
          <t>-</t>
        </is>
      </c>
      <c r="K362" s="212" t="inlineStr">
        <is>
          <t>-</t>
        </is>
      </c>
      <c r="L362" s="212" t="n"/>
      <c r="M362" s="212" t="n"/>
      <c r="N362" s="212" t="n"/>
      <c r="O362" s="212" t="inlineStr">
        <is>
          <t>-</t>
        </is>
      </c>
      <c r="P362" s="212" t="n"/>
      <c r="Q362" s="212" t="inlineStr">
        <is>
          <t>-</t>
        </is>
      </c>
      <c r="R362" s="212" t="n"/>
      <c r="S362" s="212" t="n"/>
      <c r="T362" s="212" t="n"/>
      <c r="U362" s="212" t="n"/>
      <c r="V362" s="212" t="n"/>
      <c r="W362" s="212" t="n"/>
      <c r="X362" s="209" t="inlineStr">
        <is>
          <t>Sonstige AAS</t>
        </is>
      </c>
      <c r="Y362" s="209" t="inlineStr">
        <is>
          <t>C</t>
        </is>
      </c>
      <c r="Z362" s="209" t="inlineStr">
        <is>
          <t>Treibt die Erythropoese staerker als die meisten anderen. Wer Boldenon faehrt, kontrolliert den Haematokrit engmaschig und plant die Blutspende von vornherein ein. Auf die Blutfette vergleichsweise freundlich.</t>
        </is>
      </c>
    </row>
    <row r="363" ht="52.14655172413793" customHeight="1">
      <c r="A363" s="207" t="inlineStr">
        <is>
          <t>Drostanolon</t>
        </is>
      </c>
      <c r="B363" s="212" t="inlineStr">
        <is>
          <t>-</t>
        </is>
      </c>
      <c r="C363" s="212" t="inlineStr">
        <is>
          <t>-</t>
        </is>
      </c>
      <c r="D363" s="212" t="n"/>
      <c r="E363" s="212" t="n"/>
      <c r="F363" s="212" t="inlineStr">
        <is>
          <t>-</t>
        </is>
      </c>
      <c r="G363" s="212" t="n"/>
      <c r="H363" s="212" t="n"/>
      <c r="I363" s="212" t="n"/>
      <c r="J363" s="212" t="n"/>
      <c r="K363" s="212" t="n"/>
      <c r="L363" s="212" t="n"/>
      <c r="M363" s="212" t="n"/>
      <c r="N363" s="212" t="n"/>
      <c r="O363" s="212" t="inlineStr">
        <is>
          <t>-</t>
        </is>
      </c>
      <c r="P363" s="212" t="n"/>
      <c r="Q363" s="212" t="n"/>
      <c r="R363" s="212" t="n"/>
      <c r="S363" s="212" t="n"/>
      <c r="T363" s="212" t="n"/>
      <c r="U363" s="212" t="n"/>
      <c r="V363" s="212" t="n"/>
      <c r="W363" s="212" t="inlineStr">
        <is>
          <t>-</t>
        </is>
      </c>
      <c r="X363" s="209" t="inlineStr">
        <is>
          <t>DHT-Derivat</t>
        </is>
      </c>
      <c r="Y363" s="209" t="inlineStr">
        <is>
          <t>C</t>
        </is>
      </c>
      <c r="Z363" s="209" t="inlineStr">
        <is>
          <t>DHT-Derivat, aromatisiert nicht. Typisches Muster der Klasse: HDL runter, Haare und Prostata belastet, Estradiol gedrueckt. Der E2-Eintrag ist kein Tippfehler - zu wenig Estrogen ist ebenfalls ein Problem.</t>
        </is>
      </c>
    </row>
    <row r="364" ht="34.89655172413793" customHeight="1">
      <c r="A364" s="207" t="inlineStr">
        <is>
          <t>Primobolan (Methenolon)</t>
        </is>
      </c>
      <c r="B364" s="212" t="inlineStr">
        <is>
          <t>-</t>
        </is>
      </c>
      <c r="C364" s="212" t="n"/>
      <c r="D364" s="212" t="n"/>
      <c r="E364" s="212" t="n"/>
      <c r="F364" s="212" t="inlineStr">
        <is>
          <t>-</t>
        </is>
      </c>
      <c r="G364" s="212" t="n"/>
      <c r="H364" s="212" t="n"/>
      <c r="I364" s="212" t="n"/>
      <c r="J364" s="212" t="n"/>
      <c r="K364" s="212" t="n"/>
      <c r="L364" s="212" t="n"/>
      <c r="M364" s="212" t="n"/>
      <c r="N364" s="212" t="n"/>
      <c r="O364" s="212" t="inlineStr">
        <is>
          <t>-</t>
        </is>
      </c>
      <c r="P364" s="212" t="n"/>
      <c r="Q364" s="212" t="n"/>
      <c r="R364" s="212" t="n"/>
      <c r="S364" s="212" t="n"/>
      <c r="T364" s="212" t="n"/>
      <c r="U364" s="212" t="n"/>
      <c r="V364" s="212" t="n"/>
      <c r="W364" s="212" t="inlineStr">
        <is>
          <t>-</t>
        </is>
      </c>
      <c r="X364" s="209" t="inlineStr">
        <is>
          <t>DHT-Derivat</t>
        </is>
      </c>
      <c r="Y364" s="209" t="inlineStr">
        <is>
          <t>C</t>
        </is>
      </c>
      <c r="Z364" s="209" t="inlineStr">
        <is>
          <t>Der mildeste der gaengigen Injizierbaren - aber nicht neutral am Oestrogen: Methenolon draengt E2 staerker nach unten als Drostanolon. Zu tiefes E2 ist kein Gewinn, sondern kostet Gelenke, Knochendichte, Libido und HDL, deshalb steht hier ein Minus und kein Plus. Ansonsten weniger auffaellig als der Rest der Klasse, was ihn nicht harmlos macht.</t>
        </is>
      </c>
    </row>
    <row r="365" ht="43.02586206896552" customHeight="1">
      <c r="A365" s="207" t="inlineStr">
        <is>
          <t>Oxandrolon</t>
        </is>
      </c>
      <c r="B365" s="212" t="n"/>
      <c r="C365" s="212" t="n"/>
      <c r="D365" s="212" t="n"/>
      <c r="E365" s="212" t="inlineStr">
        <is>
          <t>-</t>
        </is>
      </c>
      <c r="F365" s="212" t="inlineStr">
        <is>
          <t>-</t>
        </is>
      </c>
      <c r="G365" s="212" t="n"/>
      <c r="H365" s="212" t="n"/>
      <c r="I365" s="212" t="n"/>
      <c r="J365" s="212" t="inlineStr">
        <is>
          <t>-</t>
        </is>
      </c>
      <c r="K365" s="212" t="inlineStr">
        <is>
          <t>-</t>
        </is>
      </c>
      <c r="L365" s="212" t="n"/>
      <c r="M365" s="212" t="n"/>
      <c r="N365" s="212" t="n"/>
      <c r="O365" s="212" t="inlineStr">
        <is>
          <t>-</t>
        </is>
      </c>
      <c r="P365" s="212" t="n"/>
      <c r="Q365" s="212" t="inlineStr">
        <is>
          <t>-</t>
        </is>
      </c>
      <c r="R365" s="212" t="inlineStr">
        <is>
          <t>-</t>
        </is>
      </c>
      <c r="S365" s="212" t="n"/>
      <c r="T365" s="212" t="n"/>
      <c r="U365" s="212" t="n"/>
      <c r="V365" s="212" t="n"/>
      <c r="W365" s="212" t="n"/>
      <c r="X365" s="209" t="inlineStr">
        <is>
          <t>Oral 17-aa</t>
        </is>
      </c>
      <c r="Y365" s="209" t="inlineStr">
        <is>
          <t>B</t>
        </is>
      </c>
      <c r="Z365" s="209" t="inlineStr">
        <is>
          <t>ORAL, 17-alpha-alkyliert: zusaetzlich oben den Oral-Schalter setzen. Gilt als mild, das stimmt fuer die Leber halbwegs und fuer die Blutfette ueberhaupt nicht.</t>
        </is>
      </c>
    </row>
    <row r="366" ht="67.21551724137932" customHeight="1">
      <c r="A366" s="207" t="inlineStr">
        <is>
          <t>Stanozolol</t>
        </is>
      </c>
      <c r="B366" s="212" t="n"/>
      <c r="C366" s="212" t="n"/>
      <c r="D366" s="212" t="n"/>
      <c r="E366" s="212" t="inlineStr">
        <is>
          <t>-</t>
        </is>
      </c>
      <c r="F366" s="212" t="inlineStr">
        <is>
          <t>-</t>
        </is>
      </c>
      <c r="G366" s="212" t="n"/>
      <c r="H366" s="212" t="n"/>
      <c r="I366" s="212" t="inlineStr">
        <is>
          <t>-</t>
        </is>
      </c>
      <c r="J366" s="212" t="inlineStr">
        <is>
          <t>-</t>
        </is>
      </c>
      <c r="K366" s="212" t="inlineStr">
        <is>
          <t>-</t>
        </is>
      </c>
      <c r="L366" s="212" t="n"/>
      <c r="M366" s="212" t="n"/>
      <c r="N366" s="212" t="n"/>
      <c r="O366" s="212" t="inlineStr">
        <is>
          <t>-</t>
        </is>
      </c>
      <c r="P366" s="212" t="n"/>
      <c r="Q366" s="212" t="n"/>
      <c r="R366" s="212" t="inlineStr">
        <is>
          <t>-</t>
        </is>
      </c>
      <c r="S366" s="212" t="n"/>
      <c r="T366" s="212" t="n"/>
      <c r="U366" s="212" t="n"/>
      <c r="V366" s="212" t="n"/>
      <c r="W366" s="212" t="inlineStr">
        <is>
          <t>-</t>
        </is>
      </c>
      <c r="X366" s="209" t="inlineStr">
        <is>
          <t>Oral 17-aa</t>
        </is>
      </c>
      <c r="Y366" s="209" t="inlineStr">
        <is>
          <t>B</t>
        </is>
      </c>
      <c r="Z366" s="209" t="inlineStr">
        <is>
          <t>Der Stoff mit dem deutlichsten Kollagenproblem: verminderte Elastizitaet von Sehnen bis zur Gefaesswand, deshalb hier das groesste Minus der Liste. Dazu das schlechteste Lipidprofil aller gaengigen Oralen.</t>
        </is>
      </c>
    </row>
    <row r="367" ht="46.19827586206897" customHeight="1">
      <c r="A367" s="207" t="inlineStr">
        <is>
          <t>Oxymetholon</t>
        </is>
      </c>
      <c r="B367" s="212" t="n"/>
      <c r="C367" s="212" t="n"/>
      <c r="D367" s="212" t="inlineStr">
        <is>
          <t>-</t>
        </is>
      </c>
      <c r="E367" s="212" t="inlineStr">
        <is>
          <t>-</t>
        </is>
      </c>
      <c r="F367" s="212" t="inlineStr">
        <is>
          <t>-</t>
        </is>
      </c>
      <c r="G367" s="212" t="n"/>
      <c r="H367" s="212" t="n"/>
      <c r="I367" s="212" t="n"/>
      <c r="J367" s="212" t="inlineStr">
        <is>
          <t>-</t>
        </is>
      </c>
      <c r="K367" s="212" t="inlineStr">
        <is>
          <t>-</t>
        </is>
      </c>
      <c r="L367" s="212" t="n"/>
      <c r="M367" s="212" t="n"/>
      <c r="N367" s="212" t="n"/>
      <c r="O367" s="212" t="inlineStr">
        <is>
          <t>-</t>
        </is>
      </c>
      <c r="P367" s="212" t="n"/>
      <c r="Q367" s="212" t="n"/>
      <c r="R367" s="212" t="inlineStr">
        <is>
          <t>-</t>
        </is>
      </c>
      <c r="S367" s="212" t="n"/>
      <c r="T367" s="212" t="n"/>
      <c r="U367" s="212" t="n"/>
      <c r="V367" s="212" t="n"/>
      <c r="W367" s="212" t="n"/>
      <c r="X367" s="209" t="inlineStr">
        <is>
          <t>Oral 17-aa</t>
        </is>
      </c>
      <c r="Y367" s="209" t="inlineStr">
        <is>
          <t>B</t>
        </is>
      </c>
      <c r="Z367" s="209" t="inlineStr">
        <is>
          <t>ORAL, 17-alpha-alkyliert: zusaetzlich oben den Oral-Schalter setzen. Auf die Leber und den Haematokrit der haerteste der gaengigen Orale, dazu Wassereinlagerung und Blutdruck.</t>
        </is>
      </c>
    </row>
    <row r="368" ht="43.62068965517241" customHeight="1">
      <c r="A368" s="207" t="inlineStr">
        <is>
          <t>Methandienon</t>
        </is>
      </c>
      <c r="B368" s="212" t="inlineStr">
        <is>
          <t>-</t>
        </is>
      </c>
      <c r="C368" s="212" t="n"/>
      <c r="D368" s="212" t="inlineStr">
        <is>
          <t>-</t>
        </is>
      </c>
      <c r="E368" s="212" t="inlineStr">
        <is>
          <t>-</t>
        </is>
      </c>
      <c r="F368" s="212" t="inlineStr">
        <is>
          <t>-</t>
        </is>
      </c>
      <c r="G368" s="212" t="n"/>
      <c r="H368" s="212" t="n"/>
      <c r="I368" s="212" t="n"/>
      <c r="J368" s="212" t="inlineStr">
        <is>
          <t>-</t>
        </is>
      </c>
      <c r="K368" s="212" t="inlineStr">
        <is>
          <t>-</t>
        </is>
      </c>
      <c r="L368" s="212" t="n"/>
      <c r="M368" s="212" t="n"/>
      <c r="N368" s="212" t="n"/>
      <c r="O368" s="212" t="inlineStr">
        <is>
          <t>-</t>
        </is>
      </c>
      <c r="P368" s="212" t="n"/>
      <c r="Q368" s="212" t="n"/>
      <c r="R368" s="212" t="inlineStr">
        <is>
          <t>-</t>
        </is>
      </c>
      <c r="S368" s="212" t="n"/>
      <c r="T368" s="212" t="n"/>
      <c r="U368" s="212" t="n"/>
      <c r="V368" s="212" t="n"/>
      <c r="W368" s="212" t="n"/>
      <c r="X368" s="209" t="inlineStr">
        <is>
          <t>Oral 17-aa</t>
        </is>
      </c>
      <c r="Y368" s="209" t="inlineStr">
        <is>
          <t>B</t>
        </is>
      </c>
      <c r="Z368" s="209" t="inlineStr">
        <is>
          <t>ORAL, 17-alpha-alkyliert: zusaetzlich oben den Oral-Schalter setzen. Aromatisiert stark, daher der E2-Eintrag und die Wassereinlagerung, die den Blutdruck treibt.</t>
        </is>
      </c>
    </row>
    <row r="369" ht="35.0948275862069" customHeight="1">
      <c r="A369" s="207" t="inlineStr">
        <is>
          <t>Turinabol</t>
        </is>
      </c>
      <c r="B369" s="212" t="n"/>
      <c r="C369" s="212" t="n"/>
      <c r="D369" s="212" t="n"/>
      <c r="E369" s="212" t="inlineStr">
        <is>
          <t>-</t>
        </is>
      </c>
      <c r="F369" s="212" t="inlineStr">
        <is>
          <t>-</t>
        </is>
      </c>
      <c r="G369" s="212" t="n"/>
      <c r="H369" s="212" t="n"/>
      <c r="I369" s="212" t="n"/>
      <c r="J369" s="212" t="inlineStr">
        <is>
          <t>-</t>
        </is>
      </c>
      <c r="K369" s="212" t="inlineStr">
        <is>
          <t>-</t>
        </is>
      </c>
      <c r="L369" s="212" t="n"/>
      <c r="M369" s="212" t="n"/>
      <c r="N369" s="212" t="n"/>
      <c r="O369" s="212" t="inlineStr">
        <is>
          <t>-</t>
        </is>
      </c>
      <c r="P369" s="212" t="n"/>
      <c r="Q369" s="212" t="n"/>
      <c r="R369" s="212" t="inlineStr">
        <is>
          <t>-</t>
        </is>
      </c>
      <c r="S369" s="212" t="n"/>
      <c r="T369" s="212" t="n"/>
      <c r="U369" s="212" t="n"/>
      <c r="V369" s="212" t="n"/>
      <c r="W369" s="212" t="n"/>
      <c r="X369" s="209" t="inlineStr">
        <is>
          <t>Oral 17-aa</t>
        </is>
      </c>
      <c r="Y369" s="209" t="inlineStr">
        <is>
          <t>C</t>
        </is>
      </c>
      <c r="Z369" s="209" t="inlineStr">
        <is>
          <t>ORAL, 17-alpha-alkyliert: zusaetzlich oben den Oral-Schalter setzen. Milder als die uebrigen Orale, aromatisiert nicht.</t>
        </is>
      </c>
    </row>
    <row r="370" ht="69.5948275862069" customHeight="1">
      <c r="A370" s="207" t="inlineStr">
        <is>
          <t>SARM (RAD-140, LGD-4033, Ostarin)</t>
        </is>
      </c>
      <c r="B370" s="212" t="n"/>
      <c r="C370" s="212" t="n"/>
      <c r="D370" s="212" t="n"/>
      <c r="E370" s="212" t="inlineStr">
        <is>
          <t>-</t>
        </is>
      </c>
      <c r="F370" s="212" t="inlineStr">
        <is>
          <t>-</t>
        </is>
      </c>
      <c r="G370" s="212" t="n"/>
      <c r="H370" s="212" t="n"/>
      <c r="I370" s="212" t="n"/>
      <c r="J370" s="212" t="n"/>
      <c r="K370" s="212" t="inlineStr">
        <is>
          <t>-</t>
        </is>
      </c>
      <c r="L370" s="212" t="n"/>
      <c r="M370" s="212" t="n"/>
      <c r="N370" s="212" t="n"/>
      <c r="O370" s="212" t="inlineStr">
        <is>
          <t>-</t>
        </is>
      </c>
      <c r="P370" s="212" t="n"/>
      <c r="Q370" s="212" t="n"/>
      <c r="R370" s="212" t="inlineStr">
        <is>
          <t>-</t>
        </is>
      </c>
      <c r="S370" s="212" t="n"/>
      <c r="T370" s="212" t="n"/>
      <c r="U370" s="212" t="n"/>
      <c r="V370" s="212" t="n"/>
      <c r="W370" s="212" t="n"/>
      <c r="X370" s="209" t="inlineStr">
        <is>
          <t>SARM</t>
        </is>
      </c>
      <c r="Y370" s="209" t="inlineStr">
        <is>
          <t>C</t>
        </is>
      </c>
      <c r="Z370" s="209" t="inlineStr">
        <is>
          <t>Werden als milde Alternative verkauft und sind es nicht. Zu mehreren Vertretern gibt es Fallberichte ueber schwere Leberschaeden, das HDL faellt aehnlich deutlich wie unter Oralen. Keiner davon ist als Arzneimittel zugelassen, die Produktqualitaet auf dem grauen Markt ist entsprechend unklar.</t>
        </is>
      </c>
    </row>
    <row r="371" ht="53.73275862068966" customHeight="1">
      <c r="A371" s="207" t="inlineStr">
        <is>
          <t>Wachstumshormon (hGH)</t>
        </is>
      </c>
      <c r="B371" s="212" t="n"/>
      <c r="C371" s="212" t="n"/>
      <c r="D371" s="212" t="inlineStr">
        <is>
          <t>-</t>
        </is>
      </c>
      <c r="E371" s="212" t="n"/>
      <c r="F371" s="212" t="n"/>
      <c r="G371" s="212" t="n"/>
      <c r="H371" s="212" t="n"/>
      <c r="I371" s="212" t="n"/>
      <c r="J371" s="212" t="inlineStr">
        <is>
          <t>-</t>
        </is>
      </c>
      <c r="K371" s="212" t="n"/>
      <c r="L371" s="212" t="n"/>
      <c r="M371" s="212" t="inlineStr">
        <is>
          <t>-</t>
        </is>
      </c>
      <c r="N371" s="212" t="n"/>
      <c r="O371" s="212" t="n"/>
      <c r="P371" s="212" t="n"/>
      <c r="Q371" s="212" t="n"/>
      <c r="R371" s="212" t="n"/>
      <c r="S371" s="212" t="n"/>
      <c r="T371" s="212" t="inlineStr">
        <is>
          <t>-</t>
        </is>
      </c>
      <c r="U371" s="212" t="n"/>
      <c r="V371" s="212" t="n"/>
      <c r="W371" s="212" t="n"/>
      <c r="X371" s="209" t="inlineStr">
        <is>
          <t>Peptidhormon</t>
        </is>
      </c>
      <c r="Y371" s="209" t="inlineStr">
        <is>
          <t>B</t>
        </is>
      </c>
      <c r="Z371" s="209" t="inlineStr">
        <is>
          <t>Was bei Akromegalie zu sehen ist - erweiterte Aortenwurzel und undichte Aortenklappe - ist der Grund fuer das Minus an der Gefaesswand. Bei den hier ueblichen Dosen abgeschwaecht, aber in dieselbe Richtung.</t>
        </is>
      </c>
    </row>
    <row r="372" ht="54.32758620689655" customHeight="1">
      <c r="A372" s="207" t="inlineStr">
        <is>
          <t>Insulin</t>
        </is>
      </c>
      <c r="B372" s="212" t="n"/>
      <c r="C372" s="212" t="n"/>
      <c r="D372" s="212" t="n"/>
      <c r="E372" s="212" t="n"/>
      <c r="F372" s="212" t="n"/>
      <c r="G372" s="212" t="n"/>
      <c r="H372" s="212" t="n"/>
      <c r="I372" s="212" t="n"/>
      <c r="J372" s="212" t="n"/>
      <c r="K372" s="212" t="n"/>
      <c r="L372" s="212" t="n"/>
      <c r="M372" s="212" t="n"/>
      <c r="N372" s="212" t="n"/>
      <c r="O372" s="212" t="n"/>
      <c r="P372" s="212" t="n"/>
      <c r="Q372" s="212" t="n"/>
      <c r="R372" s="212" t="n"/>
      <c r="S372" s="212" t="n"/>
      <c r="T372" s="212" t="inlineStr">
        <is>
          <t>-</t>
        </is>
      </c>
      <c r="U372" s="212" t="n"/>
      <c r="V372" s="212" t="n"/>
      <c r="W372" s="212" t="n"/>
      <c r="X372" s="209" t="inlineStr">
        <is>
          <t>Insulin</t>
        </is>
      </c>
      <c r="Y372" s="209" t="inlineStr">
        <is>
          <t>A</t>
        </is>
      </c>
      <c r="Z372" s="209" t="inlineStr">
        <is>
          <t>Das eigentliche Risiko bildet dieser Score NICHT ab: eine Unterzuckerung kann innerhalb von Stunden toedlich sein, unabhaengig von jedem Punktwert hier. Der Eintrag steht fuer die laengerfristige Stoffwechselwirkung.</t>
        </is>
      </c>
    </row>
    <row r="373" ht="44.41379310344828" customHeight="1">
      <c r="A373" s="207" t="inlineStr">
        <is>
          <t>Clenbuterol</t>
        </is>
      </c>
      <c r="B373" s="212" t="n"/>
      <c r="C373" s="212" t="n"/>
      <c r="D373" s="212" t="n"/>
      <c r="E373" s="212" t="inlineStr">
        <is>
          <t>-</t>
        </is>
      </c>
      <c r="F373" s="212" t="n"/>
      <c r="G373" s="212" t="inlineStr">
        <is>
          <t>-</t>
        </is>
      </c>
      <c r="H373" s="212" t="n"/>
      <c r="I373" s="212" t="n"/>
      <c r="J373" s="212" t="inlineStr">
        <is>
          <t>-</t>
        </is>
      </c>
      <c r="K373" s="212" t="inlineStr">
        <is>
          <t>-</t>
        </is>
      </c>
      <c r="L373" s="212" t="inlineStr">
        <is>
          <t>-</t>
        </is>
      </c>
      <c r="M373" s="212" t="inlineStr">
        <is>
          <t>-</t>
        </is>
      </c>
      <c r="N373" s="212" t="n"/>
      <c r="O373" s="212" t="inlineStr">
        <is>
          <t>-</t>
        </is>
      </c>
      <c r="P373" s="212" t="n"/>
      <c r="Q373" s="212" t="n"/>
      <c r="R373" s="212" t="n"/>
      <c r="S373" s="212" t="n"/>
      <c r="T373" s="212" t="inlineStr">
        <is>
          <t>-</t>
        </is>
      </c>
      <c r="U373" s="212" t="n"/>
      <c r="V373" s="212" t="n"/>
      <c r="W373" s="212" t="n"/>
      <c r="X373" s="209" t="inlineStr">
        <is>
          <t>Beta-2-Agonist</t>
        </is>
      </c>
      <c r="Y373" s="209" t="inlineStr">
        <is>
          <t>C</t>
        </is>
      </c>
      <c r="Z373" s="209" t="inlineStr">
        <is>
          <t>Tachykardie, Tremor und Kaliumverschiebungen sind das Akute. Im Tiermodell verdickt es den Herzmuskel und foerdert Fibrose - der Grund fuer die beiden Eintraege hier.</t>
        </is>
      </c>
    </row>
    <row r="374" ht="51.35344827586207" customHeight="1">
      <c r="A374" s="207" t="inlineStr">
        <is>
          <t>T3 (Liothyronin)</t>
        </is>
      </c>
      <c r="B374" s="212" t="n"/>
      <c r="C374" s="212" t="n"/>
      <c r="D374" s="212" t="n"/>
      <c r="E374" s="212" t="n"/>
      <c r="F374" s="212" t="n"/>
      <c r="G374" s="212" t="n"/>
      <c r="H374" s="212" t="n"/>
      <c r="I374" s="212" t="n"/>
      <c r="J374" s="212" t="n"/>
      <c r="K374" s="212" t="inlineStr">
        <is>
          <t>-</t>
        </is>
      </c>
      <c r="L374" s="212" t="inlineStr">
        <is>
          <t>-</t>
        </is>
      </c>
      <c r="M374" s="212" t="inlineStr">
        <is>
          <t>-</t>
        </is>
      </c>
      <c r="N374" s="212" t="n"/>
      <c r="O374" s="212" t="n"/>
      <c r="P374" s="212" t="n"/>
      <c r="Q374" s="212" t="n"/>
      <c r="R374" s="212" t="n"/>
      <c r="S374" s="212" t="n"/>
      <c r="T374" s="212" t="n"/>
      <c r="U374" s="212" t="inlineStr">
        <is>
          <t>-</t>
        </is>
      </c>
      <c r="V374" s="212" t="n"/>
      <c r="W374" s="212" t="n"/>
      <c r="X374" s="209" t="inlineStr">
        <is>
          <t>Schilddruesenhormon</t>
        </is>
      </c>
      <c r="Y374" s="209" t="inlineStr">
        <is>
          <t>B</t>
        </is>
      </c>
      <c r="Z374" s="209" t="inlineStr">
        <is>
          <t>Baut nicht nur Fett ab, sondern auch Muskel - daher der Minuseintrag beim Muskelaufbau. Am Herzen Rhythmusstoerungen und bei Dauergebrauch Hypertrophie. Nach dem Absetzen braucht die eigene Achse Zeit.</t>
        </is>
      </c>
    </row>
    <row r="375" ht="91.60344827586206" customHeight="1">
      <c r="A375" s="207" t="inlineStr">
        <is>
          <t>DNP</t>
        </is>
      </c>
      <c r="B375" s="212" t="n"/>
      <c r="C375" s="212" t="n"/>
      <c r="D375" s="212" t="n"/>
      <c r="E375" s="212" t="n"/>
      <c r="F375" s="212" t="n"/>
      <c r="G375" s="212" t="n"/>
      <c r="H375" s="212" t="n"/>
      <c r="I375" s="212" t="n"/>
      <c r="J375" s="212" t="n"/>
      <c r="K375" s="212" t="inlineStr">
        <is>
          <t>-</t>
        </is>
      </c>
      <c r="L375" s="212" t="inlineStr">
        <is>
          <t>-</t>
        </is>
      </c>
      <c r="M375" s="212" t="n"/>
      <c r="N375" s="212" t="n"/>
      <c r="O375" s="212" t="n"/>
      <c r="P375" s="212" t="n"/>
      <c r="Q375" s="212" t="inlineStr">
        <is>
          <t>-</t>
        </is>
      </c>
      <c r="R375" s="212" t="inlineStr">
        <is>
          <t>-</t>
        </is>
      </c>
      <c r="S375" s="212" t="n"/>
      <c r="T375" s="212" t="n"/>
      <c r="U375" s="212" t="n"/>
      <c r="V375" s="212" t="n"/>
      <c r="W375" s="212" t="n"/>
      <c r="X375" s="209" t="inlineStr">
        <is>
          <t>Entkoppler</t>
        </is>
      </c>
      <c r="Y375" s="209" t="inlineStr">
        <is>
          <t>A</t>
        </is>
      </c>
      <c r="Z375" s="209" t="inlineStr">
        <is>
          <t>KEIN PUNKTWERT AUF DIESEM BLATT BILDET DAS RICHTIG AB. DNP entkoppelt die Zellatmung; die toedliche Dosis liegt nah an der wirksamen, und es gibt keinen Gegenspieler. Todesfaelle sind aus normalen Anwendungsdosen dokumentiert, nicht nur aus Ueberdosierungen. Die Zeile steht hier, damit der Score nicht so tut, als waere die Substanz kostenlos - nicht, weil sich das Risiko in Punkten ausdruecken liesse.</t>
        </is>
      </c>
    </row>
    <row r="376" ht="101.7155172413793" customHeight="1">
      <c r="A376" s="207" t="inlineStr">
        <is>
          <t>Rauchen (10 Zigaretten pro Tag)</t>
        </is>
      </c>
      <c r="B376" s="212" t="n"/>
      <c r="C376" s="212" t="n"/>
      <c r="D376" s="212" t="inlineStr">
        <is>
          <t>-</t>
        </is>
      </c>
      <c r="E376" s="212" t="inlineStr">
        <is>
          <t>-</t>
        </is>
      </c>
      <c r="F376" s="212" t="inlineStr">
        <is>
          <t>-</t>
        </is>
      </c>
      <c r="G376" s="212" t="n"/>
      <c r="H376" s="212" t="n"/>
      <c r="I376" s="212" t="inlineStr">
        <is>
          <t>-</t>
        </is>
      </c>
      <c r="J376" s="212" t="inlineStr">
        <is>
          <t>-</t>
        </is>
      </c>
      <c r="K376" s="212" t="inlineStr">
        <is>
          <t>-</t>
        </is>
      </c>
      <c r="L376" s="212" t="inlineStr">
        <is>
          <t>-</t>
        </is>
      </c>
      <c r="M376" s="212" t="inlineStr">
        <is>
          <t>-</t>
        </is>
      </c>
      <c r="N376" s="212" t="inlineStr">
        <is>
          <t>-</t>
        </is>
      </c>
      <c r="O376" s="212" t="inlineStr">
        <is>
          <t>-</t>
        </is>
      </c>
      <c r="P376" s="212" t="n"/>
      <c r="Q376" s="212" t="inlineStr">
        <is>
          <t>-</t>
        </is>
      </c>
      <c r="R376" s="212" t="n"/>
      <c r="S376" s="212" t="n"/>
      <c r="T376" s="212" t="inlineStr">
        <is>
          <t>-</t>
        </is>
      </c>
      <c r="U376" s="212" t="n"/>
      <c r="V376" s="212" t="n"/>
      <c r="W376" s="212" t="n"/>
      <c r="X376" s="209" t="inlineStr">
        <is>
          <t>Rauchen</t>
        </is>
      </c>
      <c r="Y376" s="209" t="inlineStr">
        <is>
          <t>A</t>
        </is>
      </c>
      <c r="Z376" s="209" t="inlineStr">
        <is>
          <t>Der groesste Einzelwert dieser Liste steht bei der Gefaesswand, und das ist kein Versehen: aktuelle Raucher haben ein rund fuenffaches Risiko fuer ein Bauchaortenaneurysma, je zehn Zigaretten taeglich kommt ein Faktor 1,9 dazu. In dieser Kategorie steckt seit dieser Fassung auch die Lunge - Emphysem und Aneurysma sind dieselbe Biologie, zerlegtes Elastin. HERZ UND SCHLAGANFALL SKALIEREN NICHT LINEAR: schon eine Zigarette am Tag traegt rund 46 Prozent des Ueberrisikos von zwanzig. Zehn am Tag sind naeher an einer Schachtel als an der Haelfte, Runterrauchen bringt also weit weniger als es sich anfuehlt. Dazu die Raucherpolyglobulie: Kohlenmonoxid bindet Haemoglobin, der Koerper legt Erythrozyten nach - auf einem System, das der Stack ohnehin hochtreibt. NICHT ABGEBILDET: Krebs. Das Modell kennt keine Krebskategorie, deshalb ist der Wert hier eher zu freundlich als zu hart.</t>
        </is>
      </c>
    </row>
    <row r="377" ht="101.7155172413793" customHeight="1">
      <c r="A377" s="207" t="inlineStr">
        <is>
          <t>Alkohol (5 Bier pro Tag)</t>
        </is>
      </c>
      <c r="B377" s="212" t="n"/>
      <c r="C377" s="212" t="n"/>
      <c r="D377" s="212" t="inlineStr">
        <is>
          <t>-</t>
        </is>
      </c>
      <c r="E377" s="212" t="n"/>
      <c r="F377" s="212" t="n"/>
      <c r="G377" s="212" t="inlineStr">
        <is>
          <t>-</t>
        </is>
      </c>
      <c r="H377" s="212" t="n"/>
      <c r="I377" s="212" t="inlineStr">
        <is>
          <t>-</t>
        </is>
      </c>
      <c r="J377" s="212" t="inlineStr">
        <is>
          <t>-</t>
        </is>
      </c>
      <c r="K377" s="212" t="inlineStr">
        <is>
          <t>-</t>
        </is>
      </c>
      <c r="L377" s="212" t="inlineStr">
        <is>
          <t>-</t>
        </is>
      </c>
      <c r="M377" s="212" t="inlineStr">
        <is>
          <t>-</t>
        </is>
      </c>
      <c r="N377" s="212" t="n"/>
      <c r="O377" s="212" t="n"/>
      <c r="P377" s="212" t="n"/>
      <c r="Q377" s="212" t="n"/>
      <c r="R377" s="212" t="inlineStr">
        <is>
          <t>-</t>
        </is>
      </c>
      <c r="S377" s="212" t="n"/>
      <c r="T377" s="212" t="inlineStr">
        <is>
          <t>-</t>
        </is>
      </c>
      <c r="U377" s="212" t="n"/>
      <c r="V377" s="212" t="n"/>
      <c r="W377" s="212" t="n"/>
      <c r="X377" s="209" t="inlineStr">
        <is>
          <t>Alkohol</t>
        </is>
      </c>
      <c r="Y377" s="209" t="inlineStr">
        <is>
          <t>A</t>
        </is>
      </c>
      <c r="Z377" s="209" t="inlineStr">
        <is>
          <t>Fuenf Bier taeglich sind rund 100 g Reinalkohol am Tag und damit etwa 700 g die Woche. Ab 350 g die Woche kostet Alkohol rund vier bis fuenf Jahre Lebenserwartung ab 40 - das ist die Groessenordnung, in der hier gerechnet wird, und die Menge liegt beim Doppelten dieser Schwelle. Blutdruck steigt dosisabhaengig um grob 1 mmHg je 10 g am Tag, Triglyzeride reagieren stark, Vorhofflimmern und die alkoholische Kardiomyopathie kommen bei dieser Dauerlast dazu, und die Leber ist das Organ, das zuerst nachgibt. KEIN HDL-PLUS: Alkohol hebt das HDL messbar, aber Mendelsche Randomisierung zeigt, dass dieses HDL nicht schuetzt. Ein Pluszeichen dafuer waere geschoent. NICHT ABGEBILDET: Krebs - Alkohol ist als Gruppe-1-Karzinogen eingestuft, das Modell hat dafuer keine Kategorie.</t>
        </is>
      </c>
    </row>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ht="30" customHeight="1">
      <c r="A411" s="76" t="inlineStr">
        <is>
          <t>Tag (genau so wie in Spalte J)</t>
        </is>
      </c>
      <c r="B411" s="76" t="inlineStr">
        <is>
          <t>Rolle</t>
        </is>
      </c>
      <c r="C411" s="76" t="inlineStr">
        <is>
          <t>Anzahl SNP</t>
        </is>
      </c>
      <c r="D411" s="76" t="inlineStr">
        <is>
          <t>Kategorien</t>
        </is>
      </c>
    </row>
    <row r="412">
      <c r="A412" s="153" t="inlineStr">
        <is>
          <t>ACE-Hemmer (Ziel)</t>
        </is>
      </c>
      <c r="B412" s="153" t="inlineStr">
        <is>
          <t>Ziel</t>
        </is>
      </c>
      <c r="C412" s="153" t="n">
        <v>20</v>
      </c>
      <c r="D412" s="153" t="inlineStr">
        <is>
          <t>Blutdruck/RAAS</t>
        </is>
      </c>
    </row>
    <row r="413">
      <c r="A413" s="153" t="inlineStr">
        <is>
          <t>Sartane (Ziel)</t>
        </is>
      </c>
      <c r="B413" s="153" t="inlineStr">
        <is>
          <t>Ziel</t>
        </is>
      </c>
      <c r="C413" s="153" t="n">
        <v>17</v>
      </c>
      <c r="D413" s="153" t="inlineStr">
        <is>
          <t>Blutdruck/RAAS, Gefaesse/Atherosklerose</t>
        </is>
      </c>
    </row>
    <row r="414">
      <c r="A414" s="153" t="inlineStr">
        <is>
          <t>5a-Reduktase-Hemmer (Ziel)</t>
        </is>
      </c>
      <c r="B414" s="153" t="inlineStr">
        <is>
          <t>Ziel</t>
        </is>
      </c>
      <c r="C414" s="153" t="n">
        <v>13</v>
      </c>
      <c r="D414" s="153" t="inlineStr">
        <is>
          <t>5a-Reduktase, Androgen-Abbau/Metabolismus, Haarausfall (AGA)</t>
        </is>
      </c>
    </row>
    <row r="415">
      <c r="A415" s="153" t="inlineStr">
        <is>
          <t>Aromatasehemmer (Ziel)</t>
        </is>
      </c>
      <c r="B415" s="153" t="inlineStr">
        <is>
          <t>Ziel</t>
        </is>
      </c>
      <c r="C415" s="153" t="n">
        <v>13</v>
      </c>
      <c r="D415" s="153" t="inlineStr">
        <is>
          <t>Aromatase/E2</t>
        </is>
      </c>
    </row>
    <row r="416">
      <c r="A416" s="153" t="inlineStr">
        <is>
          <t>Fibrate (Ziel)</t>
        </is>
      </c>
      <c r="B416" s="153" t="inlineStr">
        <is>
          <t>Ziel</t>
        </is>
      </c>
      <c r="C416" s="153" t="n">
        <v>11</v>
      </c>
      <c r="D416" s="153" t="inlineStr">
        <is>
          <t>Blutfette-HDL, Blutfette-TG</t>
        </is>
      </c>
    </row>
    <row r="417">
      <c r="A417" s="153" t="inlineStr">
        <is>
          <t>Statine (Ziel)</t>
        </is>
      </c>
      <c r="B417" s="153" t="inlineStr">
        <is>
          <t>Ziel</t>
        </is>
      </c>
      <c r="C417" s="153" t="n">
        <v>7</v>
      </c>
      <c r="D417" s="153" t="inlineStr">
        <is>
          <t>Blutfette-LDL, Blutfette-TG</t>
        </is>
      </c>
    </row>
    <row r="418">
      <c r="A418" s="153" t="inlineStr">
        <is>
          <t>Antisense-Wirkstoffe (Ziel)</t>
        </is>
      </c>
      <c r="B418" s="153" t="inlineStr">
        <is>
          <t>Ziel</t>
        </is>
      </c>
      <c r="C418" s="153" t="n">
        <v>5</v>
      </c>
      <c r="D418" s="153" t="inlineStr">
        <is>
          <t>Blutfette-LDL, Blutfette-TG</t>
        </is>
      </c>
    </row>
    <row r="419">
      <c r="A419" s="153" t="inlineStr">
        <is>
          <t>Lipoprotein-Apherese (Ziel)</t>
        </is>
      </c>
      <c r="B419" s="153" t="inlineStr">
        <is>
          <t>Ziel</t>
        </is>
      </c>
      <c r="C419" s="153" t="n">
        <v>5</v>
      </c>
      <c r="D419" s="153" t="inlineStr">
        <is>
          <t>Blutfette-Lp(a), Gefaesse/Atherosklerose</t>
        </is>
      </c>
    </row>
    <row r="420">
      <c r="A420" s="154" t="inlineStr">
        <is>
          <t>Lp(a)-Antisense (in Erforschung)</t>
        </is>
      </c>
      <c r="B420" s="154" t="inlineStr">
        <is>
          <t>in Erforschung</t>
        </is>
      </c>
      <c r="C420" s="154" t="n">
        <v>5</v>
      </c>
      <c r="D420" s="154" t="inlineStr">
        <is>
          <t>Blutfette-Lp(a), Gefaesse/Atherosklerose</t>
        </is>
      </c>
    </row>
    <row r="421">
      <c r="A421" s="155" t="inlineStr">
        <is>
          <t>Niacin (Supplement)</t>
        </is>
      </c>
      <c r="B421" s="155" t="inlineStr">
        <is>
          <t>Supplement</t>
        </is>
      </c>
      <c r="C421" s="155" t="n">
        <v>5</v>
      </c>
      <c r="D421" s="155" t="inlineStr">
        <is>
          <t>Blutfette-Lp(a), Gefaesse/Atherosklerose</t>
        </is>
      </c>
    </row>
    <row r="422">
      <c r="A422" s="155" t="inlineStr">
        <is>
          <t>Omega-3 EPA (Supplement)</t>
        </is>
      </c>
      <c r="B422" s="155" t="inlineStr">
        <is>
          <t>Supplement</t>
        </is>
      </c>
      <c r="C422" s="155" t="n">
        <v>5</v>
      </c>
      <c r="D422" s="155" t="inlineStr">
        <is>
          <t>Blutfette-TG</t>
        </is>
      </c>
    </row>
    <row r="423">
      <c r="A423" s="153" t="inlineStr">
        <is>
          <t>PCSK9-Hemmer (Ziel)</t>
        </is>
      </c>
      <c r="B423" s="153" t="inlineStr">
        <is>
          <t>Ziel</t>
        </is>
      </c>
      <c r="C423" s="153" t="n">
        <v>5</v>
      </c>
      <c r="D423" s="153" t="inlineStr">
        <is>
          <t>Blutfette-LDL</t>
        </is>
      </c>
    </row>
    <row r="424">
      <c r="A424" s="155" t="inlineStr">
        <is>
          <t>Vitamin E (Supplement)</t>
        </is>
      </c>
      <c r="B424" s="155" t="inlineStr">
        <is>
          <t>Supplement</t>
        </is>
      </c>
      <c r="C424" s="155" t="n">
        <v>5</v>
      </c>
      <c r="D424" s="155" t="inlineStr">
        <is>
          <t>Blutfette-LDL, Blutfette-TG, Leber allgemein</t>
        </is>
      </c>
    </row>
    <row r="425">
      <c r="A425" s="153" t="inlineStr">
        <is>
          <t>Evinacumab (Ziel)</t>
        </is>
      </c>
      <c r="B425" s="153" t="inlineStr">
        <is>
          <t>Ziel</t>
        </is>
      </c>
      <c r="C425" s="153" t="n">
        <v>4</v>
      </c>
      <c r="D425" s="153" t="inlineStr">
        <is>
          <t>Blutfette-LDL, Blutfette-TG</t>
        </is>
      </c>
    </row>
    <row r="426">
      <c r="A426" s="154" t="inlineStr">
        <is>
          <t>Hepcidin-Mimetika (in Erforschung)</t>
        </is>
      </c>
      <c r="B426" s="154" t="inlineStr">
        <is>
          <t>in Erforschung</t>
        </is>
      </c>
      <c r="C426" s="154" t="n">
        <v>4</v>
      </c>
      <c r="D426" s="154" t="inlineStr">
        <is>
          <t>Eisenstoffwechsel, Haematokrit/Blutdicke</t>
        </is>
      </c>
    </row>
    <row r="427">
      <c r="A427" s="153" t="inlineStr">
        <is>
          <t>Abirateron (Ziel)</t>
        </is>
      </c>
      <c r="B427" s="153" t="inlineStr">
        <is>
          <t>Ziel</t>
        </is>
      </c>
      <c r="C427" s="153" t="n">
        <v>3</v>
      </c>
      <c r="D427" s="153" t="inlineStr">
        <is>
          <t>Androgen-Abbau/Metabolismus, Haarausfall (AGA)</t>
        </is>
      </c>
    </row>
    <row r="428">
      <c r="A428" s="153" t="inlineStr">
        <is>
          <t>Aderlass (Ziel)</t>
        </is>
      </c>
      <c r="B428" s="153" t="inlineStr">
        <is>
          <t>Ziel</t>
        </is>
      </c>
      <c r="C428" s="153" t="n">
        <v>3</v>
      </c>
      <c r="D428" s="153" t="inlineStr">
        <is>
          <t>Eisenstoffwechsel, Leber allgemein</t>
        </is>
      </c>
    </row>
    <row r="429">
      <c r="A429" s="154" t="inlineStr">
        <is>
          <t>CETP-Hemmer (in Erforschung)</t>
        </is>
      </c>
      <c r="B429" s="154" t="inlineStr">
        <is>
          <t>in Erforschung</t>
        </is>
      </c>
      <c r="C429" s="154" t="n">
        <v>3</v>
      </c>
      <c r="D429" s="154" t="inlineStr">
        <is>
          <t>Blutfette-HDL</t>
        </is>
      </c>
    </row>
    <row r="430">
      <c r="A430" s="153" t="inlineStr">
        <is>
          <t>Chelatbildner (Ziel)</t>
        </is>
      </c>
      <c r="B430" s="153" t="inlineStr">
        <is>
          <t>Ziel</t>
        </is>
      </c>
      <c r="C430" s="153" t="n">
        <v>3</v>
      </c>
      <c r="D430" s="153" t="inlineStr">
        <is>
          <t>Eisenstoffwechsel, Leber allgemein</t>
        </is>
      </c>
    </row>
    <row r="431">
      <c r="A431" s="156" t="inlineStr">
        <is>
          <t>Eisenpraeparate (Vorsicht)</t>
        </is>
      </c>
      <c r="B431" s="156" t="inlineStr">
        <is>
          <t>Vorsicht</t>
        </is>
      </c>
      <c r="C431" s="156" t="n">
        <v>3</v>
      </c>
      <c r="D431" s="156" t="inlineStr">
        <is>
          <t>Eisenstoffwechsel, Leber allgemein</t>
        </is>
      </c>
    </row>
    <row r="432">
      <c r="A432" s="153" t="inlineStr">
        <is>
          <t>SERM (Ziel)</t>
        </is>
      </c>
      <c r="B432" s="153" t="inlineStr">
        <is>
          <t>Ziel</t>
        </is>
      </c>
      <c r="C432" s="153" t="n">
        <v>3</v>
      </c>
      <c r="D432" s="153" t="inlineStr">
        <is>
          <t>Aromatase/E2</t>
        </is>
      </c>
    </row>
    <row r="433">
      <c r="A433" s="154" t="inlineStr">
        <is>
          <t>Triglycerid-Senker (in Erforschung)</t>
        </is>
      </c>
      <c r="B433" s="154" t="inlineStr">
        <is>
          <t>in Erforschung</t>
        </is>
      </c>
      <c r="C433" s="154" t="n">
        <v>3</v>
      </c>
      <c r="D433" s="154" t="inlineStr">
        <is>
          <t>Blutfette-HDL, Blutfette-TG</t>
        </is>
      </c>
    </row>
    <row r="434">
      <c r="A434" s="156" t="inlineStr">
        <is>
          <t>Vitamin C hochdosiert (Vorsicht)</t>
        </is>
      </c>
      <c r="B434" s="156" t="inlineStr">
        <is>
          <t>Vorsicht</t>
        </is>
      </c>
      <c r="C434" s="156" t="n">
        <v>3</v>
      </c>
      <c r="D434" s="156" t="inlineStr">
        <is>
          <t>Eisenstoffwechsel, Leber allgemein</t>
        </is>
      </c>
    </row>
    <row r="435">
      <c r="A435" s="153" t="inlineStr">
        <is>
          <t>A1AT-Substitution (Ziel, nur Lunge)</t>
        </is>
      </c>
      <c r="B435" s="153" t="inlineStr">
        <is>
          <t>Ziel</t>
        </is>
      </c>
      <c r="C435" s="153" t="n">
        <v>2</v>
      </c>
      <c r="D435" s="153" t="inlineStr">
        <is>
          <t>Leber allgemein, Leber: Reaktion auf Orale</t>
        </is>
      </c>
    </row>
    <row r="436">
      <c r="A436" s="153" t="inlineStr">
        <is>
          <t>Aldosteron-Antagonisten (Ziel)</t>
        </is>
      </c>
      <c r="B436" s="153" t="inlineStr">
        <is>
          <t>Ziel</t>
        </is>
      </c>
      <c r="C436" s="153" t="n">
        <v>2</v>
      </c>
      <c r="D436" s="153" t="inlineStr">
        <is>
          <t>Blutdruck/RAAS</t>
        </is>
      </c>
    </row>
    <row r="437">
      <c r="A437" s="156" t="inlineStr">
        <is>
          <t>Alkohol (Vorsicht)</t>
        </is>
      </c>
      <c r="B437" s="156" t="inlineStr">
        <is>
          <t>Vorsicht</t>
        </is>
      </c>
      <c r="C437" s="156" t="n">
        <v>2</v>
      </c>
      <c r="D437" s="156" t="inlineStr">
        <is>
          <t>Leber allgemein</t>
        </is>
      </c>
    </row>
    <row r="438">
      <c r="A438" s="153" t="inlineStr">
        <is>
          <t>Beta-2-Agonisten (Ziel)</t>
        </is>
      </c>
      <c r="B438" s="153" t="inlineStr">
        <is>
          <t>Ziel</t>
        </is>
      </c>
      <c r="C438" s="153" t="n">
        <v>2</v>
      </c>
      <c r="D438" s="153" t="inlineStr">
        <is>
          <t>Herzmuskel/Hypertrophie, Muskelaufbau</t>
        </is>
      </c>
    </row>
    <row r="439">
      <c r="A439" s="153" t="inlineStr">
        <is>
          <t>Betablocker (Ziel)</t>
        </is>
      </c>
      <c r="B439" s="153" t="inlineStr">
        <is>
          <t>Ziel</t>
        </is>
      </c>
      <c r="C439" s="153" t="n">
        <v>2</v>
      </c>
      <c r="D439" s="153" t="inlineStr">
        <is>
          <t>Herzmuskel/Hypertrophie</t>
        </is>
      </c>
    </row>
    <row r="440">
      <c r="A440" s="155" t="inlineStr">
        <is>
          <t>Coenzym Q10 (Supplement, unsicher)</t>
        </is>
      </c>
      <c r="B440" s="155" t="inlineStr">
        <is>
          <t>Supplement</t>
        </is>
      </c>
      <c r="C440" s="155" t="n">
        <v>2</v>
      </c>
      <c r="D440" s="155" t="inlineStr">
        <is>
          <t>Blutfette-LDL, Leber: Reaktion auf Orale</t>
        </is>
      </c>
    </row>
    <row r="441">
      <c r="A441" s="153" t="inlineStr">
        <is>
          <t>Cystatin-C-Messung statt Kreatinin (Ziel)</t>
        </is>
      </c>
      <c r="B441" s="153" t="inlineStr">
        <is>
          <t>Ziel</t>
        </is>
      </c>
      <c r="C441" s="153" t="n">
        <v>2</v>
      </c>
      <c r="D441" s="153" t="inlineStr">
        <is>
          <t>Nierenfunktion</t>
        </is>
      </c>
    </row>
    <row r="442">
      <c r="A442" s="153" t="inlineStr">
        <is>
          <t>Endothelin-Antagonisten (Ziel)</t>
        </is>
      </c>
      <c r="B442" s="153" t="inlineStr">
        <is>
          <t>Ziel</t>
        </is>
      </c>
      <c r="C442" s="153" t="n">
        <v>2</v>
      </c>
      <c r="D442" s="153" t="inlineStr">
        <is>
          <t>Gefaesse/Atherosklerose</t>
        </is>
      </c>
    </row>
    <row r="443">
      <c r="A443" s="153" t="inlineStr">
        <is>
          <t>Ezetimib (Ziel)</t>
        </is>
      </c>
      <c r="B443" s="153" t="inlineStr">
        <is>
          <t>Ziel</t>
        </is>
      </c>
      <c r="C443" s="153" t="n">
        <v>2</v>
      </c>
      <c r="D443" s="153" t="inlineStr">
        <is>
          <t>Blutfette-LDL</t>
        </is>
      </c>
    </row>
    <row r="444">
      <c r="A444" s="155" t="inlineStr">
        <is>
          <t>Folat 5-MTHF (Supplement)</t>
        </is>
      </c>
      <c r="B444" s="155" t="inlineStr">
        <is>
          <t>Supplement</t>
        </is>
      </c>
      <c r="C444" s="155" t="n">
        <v>2</v>
      </c>
      <c r="D444" s="155" t="inlineStr">
        <is>
          <t>Aromatase/E2, Thrombose/Blutgerinnung</t>
        </is>
      </c>
    </row>
    <row r="445">
      <c r="A445" s="155" t="inlineStr">
        <is>
          <t>L-Citrullin/Nitrat (Supplement)</t>
        </is>
      </c>
      <c r="B445" s="155" t="inlineStr">
        <is>
          <t>Supplement</t>
        </is>
      </c>
      <c r="C445" s="155" t="n">
        <v>2</v>
      </c>
      <c r="D445" s="155" t="inlineStr">
        <is>
          <t>Blutdruck/RAAS, Gefaesse/Atherosklerose</t>
        </is>
      </c>
    </row>
    <row r="446">
      <c r="A446" s="153" t="inlineStr">
        <is>
          <t>Lomitapid (Ziel)</t>
        </is>
      </c>
      <c r="B446" s="153" t="inlineStr">
        <is>
          <t>Ziel</t>
        </is>
      </c>
      <c r="C446" s="153" t="n">
        <v>2</v>
      </c>
      <c r="D446" s="153" t="inlineStr">
        <is>
          <t>Blutfette-LDL</t>
        </is>
      </c>
    </row>
    <row r="447">
      <c r="A447" s="153" t="inlineStr">
        <is>
          <t>Nitrate (Ziel)</t>
        </is>
      </c>
      <c r="B447" s="153" t="inlineStr">
        <is>
          <t>Ziel</t>
        </is>
      </c>
      <c r="C447" s="153" t="n">
        <v>2</v>
      </c>
      <c r="D447" s="153" t="inlineStr">
        <is>
          <t>Blutdruck/RAAS, Gefaesse/Atherosklerose</t>
        </is>
      </c>
    </row>
    <row r="448">
      <c r="A448" s="155" t="inlineStr">
        <is>
          <t>Omega-3 (Supplement)</t>
        </is>
      </c>
      <c r="B448" s="155" t="inlineStr">
        <is>
          <t>Supplement</t>
        </is>
      </c>
      <c r="C448" s="155" t="n">
        <v>2</v>
      </c>
      <c r="D448" s="155" t="inlineStr">
        <is>
          <t>Blutfette-HDL, Blutfette-LDL</t>
        </is>
      </c>
    </row>
    <row r="449">
      <c r="A449" s="156" t="inlineStr">
        <is>
          <t>Oxazepam (Vorsicht)</t>
        </is>
      </c>
      <c r="B449" s="156" t="inlineStr">
        <is>
          <t>Vorsicht</t>
        </is>
      </c>
      <c r="C449" s="156" t="n">
        <v>2</v>
      </c>
      <c r="D449" s="156" t="inlineStr">
        <is>
          <t>Androgen-Abbau/Metabolismus, Leber: Reaktion auf Orale</t>
        </is>
      </c>
    </row>
    <row r="450">
      <c r="A450" s="153" t="inlineStr">
        <is>
          <t>PDE5-Hemmer (Ziel)</t>
        </is>
      </c>
      <c r="B450" s="153" t="inlineStr">
        <is>
          <t>Ziel</t>
        </is>
      </c>
      <c r="C450" s="153" t="n">
        <v>2</v>
      </c>
      <c r="D450" s="153" t="inlineStr">
        <is>
          <t>Blutdruck/RAAS, Gefaesse/Atherosklerose</t>
        </is>
      </c>
    </row>
    <row r="451">
      <c r="A451" s="155" t="inlineStr">
        <is>
          <t>Pflanzensterole (Supplement)</t>
        </is>
      </c>
      <c r="B451" s="155" t="inlineStr">
        <is>
          <t>Supplement</t>
        </is>
      </c>
      <c r="C451" s="155" t="n">
        <v>2</v>
      </c>
      <c r="D451" s="155" t="inlineStr">
        <is>
          <t>Blutfette-LDL</t>
        </is>
      </c>
    </row>
    <row r="452">
      <c r="A452" s="156" t="inlineStr">
        <is>
          <t>QT-verlaengernde Medikamente (Vorsicht)</t>
        </is>
      </c>
      <c r="B452" s="156" t="inlineStr">
        <is>
          <t>Vorsicht</t>
        </is>
      </c>
      <c r="C452" s="156" t="n">
        <v>2</v>
      </c>
      <c r="D452" s="156" t="inlineStr">
        <is>
          <t>Herzrhythmus</t>
        </is>
      </c>
    </row>
    <row r="453">
      <c r="A453" s="153" t="inlineStr">
        <is>
          <t>Renin-Hemmer (Ziel)</t>
        </is>
      </c>
      <c r="B453" s="153" t="inlineStr">
        <is>
          <t>Ziel</t>
        </is>
      </c>
      <c r="C453" s="153" t="n">
        <v>2</v>
      </c>
      <c r="D453" s="153" t="inlineStr">
        <is>
          <t>Blutdruck/RAAS</t>
        </is>
      </c>
    </row>
    <row r="454">
      <c r="A454" s="153" t="inlineStr">
        <is>
          <t>Sacubitril (Ziel)</t>
        </is>
      </c>
      <c r="B454" s="153" t="inlineStr">
        <is>
          <t>Ziel</t>
        </is>
      </c>
      <c r="C454" s="153" t="n">
        <v>2</v>
      </c>
      <c r="D454" s="153" t="inlineStr">
        <is>
          <t>Herzmuskel/Hypertrophie</t>
        </is>
      </c>
    </row>
    <row r="455">
      <c r="A455" s="156" t="inlineStr">
        <is>
          <t>Statine (Vorsicht)</t>
        </is>
      </c>
      <c r="B455" s="156" t="inlineStr">
        <is>
          <t>Vorsicht</t>
        </is>
      </c>
      <c r="C455" s="156" t="n">
        <v>2</v>
      </c>
      <c r="D455" s="156" t="inlineStr">
        <is>
          <t>Blutfette-LDL, Leber: Reaktion auf Orale</t>
        </is>
      </c>
    </row>
    <row r="456">
      <c r="A456" s="155" t="inlineStr">
        <is>
          <t>TUDCA (Supplement)</t>
        </is>
      </c>
      <c r="B456" s="155" t="inlineStr">
        <is>
          <t>Supplement</t>
        </is>
      </c>
      <c r="C456" s="155" t="n">
        <v>2</v>
      </c>
      <c r="D456" s="155" t="inlineStr">
        <is>
          <t>Leber allgemein, Leber: Reaktion auf Orale</t>
        </is>
      </c>
    </row>
    <row r="457">
      <c r="A457" s="153" t="inlineStr">
        <is>
          <t>Ursodeoxycholsaeure UDCA (Ziel)</t>
        </is>
      </c>
      <c r="B457" s="153" t="inlineStr">
        <is>
          <t>Ziel</t>
        </is>
      </c>
      <c r="C457" s="153" t="n">
        <v>2</v>
      </c>
      <c r="D457" s="153" t="inlineStr">
        <is>
          <t>Leber allgemein, Leber: Reaktion auf Orale</t>
        </is>
      </c>
    </row>
    <row r="458">
      <c r="A458" s="153" t="inlineStr">
        <is>
          <t>Allopurinol/Febuxostat (Ziel)</t>
        </is>
      </c>
      <c r="B458" s="153" t="inlineStr">
        <is>
          <t>Ziel</t>
        </is>
      </c>
      <c r="C458" s="153" t="n">
        <v>1</v>
      </c>
      <c r="D458" s="153" t="inlineStr">
        <is>
          <t>Nierenfunktion</t>
        </is>
      </c>
    </row>
    <row r="459">
      <c r="A459" s="153" t="inlineStr">
        <is>
          <t>Antiandrogen (Ziel)</t>
        </is>
      </c>
      <c r="B459" s="153" t="inlineStr">
        <is>
          <t>Ziel</t>
        </is>
      </c>
      <c r="C459" s="153" t="n">
        <v>1</v>
      </c>
      <c r="D459" s="153" t="inlineStr">
        <is>
          <t>Haarausfall (AGA)</t>
        </is>
      </c>
    </row>
    <row r="460">
      <c r="A460" s="153" t="inlineStr">
        <is>
          <t>Antiarrhythmika/Ablation (Ziel)</t>
        </is>
      </c>
      <c r="B460" s="153" t="inlineStr">
        <is>
          <t>Ziel</t>
        </is>
      </c>
      <c r="C460" s="153" t="n">
        <v>1</v>
      </c>
      <c r="D460" s="153" t="inlineStr">
        <is>
          <t>Herzrhythmus</t>
        </is>
      </c>
    </row>
    <row r="461">
      <c r="A461" s="156" t="inlineStr">
        <is>
          <t>Atazanavir (Vorsicht)</t>
        </is>
      </c>
      <c r="B461" s="156" t="inlineStr">
        <is>
          <t>Vorsicht</t>
        </is>
      </c>
      <c r="C461" s="156" t="n">
        <v>1</v>
      </c>
      <c r="D461" s="156" t="inlineStr">
        <is>
          <t>Leber: Reaktion auf Orale</t>
        </is>
      </c>
    </row>
    <row r="462">
      <c r="A462" s="153" t="inlineStr">
        <is>
          <t>COMT-Hemmer (Ziel)</t>
        </is>
      </c>
      <c r="B462" s="153" t="inlineStr">
        <is>
          <t>Ziel</t>
        </is>
      </c>
      <c r="C462" s="153" t="n">
        <v>1</v>
      </c>
      <c r="D462" s="153" t="inlineStr">
        <is>
          <t>Aromatase/E2</t>
        </is>
      </c>
    </row>
    <row r="463">
      <c r="A463" s="153" t="inlineStr">
        <is>
          <t>Desmopressin (Ziel)</t>
        </is>
      </c>
      <c r="B463" s="153" t="inlineStr">
        <is>
          <t>Ziel</t>
        </is>
      </c>
      <c r="C463" s="153" t="n">
        <v>1</v>
      </c>
      <c r="D463" s="153" t="inlineStr">
        <is>
          <t>Thrombose/Blutgerinnung</t>
        </is>
      </c>
    </row>
    <row r="464">
      <c r="A464" s="153" t="inlineStr">
        <is>
          <t>Disulfiram (Ziel)</t>
        </is>
      </c>
      <c r="B464" s="153" t="inlineStr">
        <is>
          <t>Ziel</t>
        </is>
      </c>
      <c r="C464" s="153" t="n">
        <v>1</v>
      </c>
      <c r="D464" s="153" t="inlineStr">
        <is>
          <t>Leber allgemein</t>
        </is>
      </c>
    </row>
    <row r="465">
      <c r="A465" s="153" t="inlineStr">
        <is>
          <t>EPO-Praeparate (Ziel)</t>
        </is>
      </c>
      <c r="B465" s="153" t="inlineStr">
        <is>
          <t>Ziel</t>
        </is>
      </c>
      <c r="C465" s="153" t="n">
        <v>1</v>
      </c>
      <c r="D465" s="153" t="inlineStr">
        <is>
          <t>Haematokrit/Blutdicke</t>
        </is>
      </c>
    </row>
    <row r="466">
      <c r="A466" s="154" t="inlineStr">
        <is>
          <t>Faktor-XI-Hemmer (in Erforschung)</t>
        </is>
      </c>
      <c r="B466" s="154" t="inlineStr">
        <is>
          <t>in Erforschung</t>
        </is>
      </c>
      <c r="C466" s="154" t="n">
        <v>1</v>
      </c>
      <c r="D466" s="154" t="inlineStr">
        <is>
          <t>Thrombose/Blutgerinnung</t>
        </is>
      </c>
    </row>
    <row r="467">
      <c r="A467" s="153" t="inlineStr">
        <is>
          <t>Faktor-XIII-Konzentrat (Ziel)</t>
        </is>
      </c>
      <c r="B467" s="153" t="inlineStr">
        <is>
          <t>Ziel</t>
        </is>
      </c>
      <c r="C467" s="153" t="n">
        <v>1</v>
      </c>
      <c r="D467" s="153" t="inlineStr">
        <is>
          <t>Thrombose/Blutgerinnung</t>
        </is>
      </c>
    </row>
    <row r="468">
      <c r="A468" s="153" t="inlineStr">
        <is>
          <t>Faktor-Xa-Hemmer (Ziel)</t>
        </is>
      </c>
      <c r="B468" s="153" t="inlineStr">
        <is>
          <t>Ziel</t>
        </is>
      </c>
      <c r="C468" s="153" t="n">
        <v>1</v>
      </c>
      <c r="D468" s="153" t="inlineStr">
        <is>
          <t>Thrombose/Blutgerinnung</t>
        </is>
      </c>
    </row>
    <row r="469">
      <c r="A469" s="153" t="inlineStr">
        <is>
          <t>Glitazone (Ziel)</t>
        </is>
      </c>
      <c r="B469" s="153" t="inlineStr">
        <is>
          <t>Ziel</t>
        </is>
      </c>
      <c r="C469" s="153" t="n">
        <v>1</v>
      </c>
      <c r="D469" s="153" t="inlineStr">
        <is>
          <t>Glukosestoffwechsel</t>
        </is>
      </c>
    </row>
    <row r="470">
      <c r="A470" s="154" t="inlineStr">
        <is>
          <t>Glucokinase-Aktivatoren (in Erforschung)</t>
        </is>
      </c>
      <c r="B470" s="154" t="inlineStr">
        <is>
          <t>in Erforschung</t>
        </is>
      </c>
      <c r="C470" s="154" t="n">
        <v>1</v>
      </c>
      <c r="D470" s="154" t="inlineStr">
        <is>
          <t>Glukosestoffwechsel</t>
        </is>
      </c>
    </row>
    <row r="471">
      <c r="A471" s="153" t="inlineStr">
        <is>
          <t>HIF-Stabilisatoren (Ziel)</t>
        </is>
      </c>
      <c r="B471" s="153" t="inlineStr">
        <is>
          <t>Ziel</t>
        </is>
      </c>
      <c r="C471" s="153" t="n">
        <v>1</v>
      </c>
      <c r="D471" s="153" t="inlineStr">
        <is>
          <t>Haematokrit/Blutdicke</t>
        </is>
      </c>
    </row>
    <row r="472">
      <c r="A472" s="153" t="inlineStr">
        <is>
          <t>Heparin (Ziel)</t>
        </is>
      </c>
      <c r="B472" s="153" t="inlineStr">
        <is>
          <t>Ziel</t>
        </is>
      </c>
      <c r="C472" s="153" t="n">
        <v>1</v>
      </c>
      <c r="D472" s="153" t="inlineStr">
        <is>
          <t>Thrombose/Blutgerinnung</t>
        </is>
      </c>
    </row>
    <row r="473">
      <c r="A473" s="156" t="inlineStr">
        <is>
          <t>Irinotecan (Vorsicht)</t>
        </is>
      </c>
      <c r="B473" s="156" t="inlineStr">
        <is>
          <t>Vorsicht</t>
        </is>
      </c>
      <c r="C473" s="156" t="n">
        <v>1</v>
      </c>
      <c r="D473" s="156" t="inlineStr">
        <is>
          <t>Leber: Reaktion auf Orale</t>
        </is>
      </c>
    </row>
    <row r="474">
      <c r="A474" s="153" t="inlineStr">
        <is>
          <t>Ivabradin (Ziel)</t>
        </is>
      </c>
      <c r="B474" s="153" t="inlineStr">
        <is>
          <t>Ziel</t>
        </is>
      </c>
      <c r="C474" s="153" t="n">
        <v>1</v>
      </c>
      <c r="D474" s="153" t="inlineStr">
        <is>
          <t>Herzrhythmus</t>
        </is>
      </c>
    </row>
    <row r="475">
      <c r="A475" s="153" t="inlineStr">
        <is>
          <t>JAK-Hemmer (Ziel)</t>
        </is>
      </c>
      <c r="B475" s="153" t="inlineStr">
        <is>
          <t>Ziel</t>
        </is>
      </c>
      <c r="C475" s="153" t="n">
        <v>1</v>
      </c>
      <c r="D475" s="153" t="inlineStr">
        <is>
          <t>Haematokrit/Blutdicke</t>
        </is>
      </c>
    </row>
    <row r="476">
      <c r="A476" s="153" t="inlineStr">
        <is>
          <t>Kallikrein-Hemmer (Ziel)</t>
        </is>
      </c>
      <c r="B476" s="153" t="inlineStr">
        <is>
          <t>Ziel</t>
        </is>
      </c>
      <c r="C476" s="153" t="n">
        <v>1</v>
      </c>
      <c r="D476" s="153" t="inlineStr">
        <is>
          <t>Thrombose/Blutgerinnung</t>
        </is>
      </c>
    </row>
    <row r="477">
      <c r="A477" s="156" t="inlineStr">
        <is>
          <t>Klasse-I-Antiarrhythmika (Vorsicht)</t>
        </is>
      </c>
      <c r="B477" s="156" t="inlineStr">
        <is>
          <t>Vorsicht</t>
        </is>
      </c>
      <c r="C477" s="156" t="n">
        <v>1</v>
      </c>
      <c r="D477" s="156" t="inlineStr">
        <is>
          <t>Herzrhythmus</t>
        </is>
      </c>
    </row>
    <row r="478">
      <c r="A478" s="156" t="inlineStr">
        <is>
          <t>Malariamittel (Vorsicht)</t>
        </is>
      </c>
      <c r="B478" s="156" t="inlineStr">
        <is>
          <t>Vorsicht</t>
        </is>
      </c>
      <c r="C478" s="156" t="n">
        <v>1</v>
      </c>
      <c r="D478" s="156" t="inlineStr">
        <is>
          <t>Haematokrit/Blutdicke</t>
        </is>
      </c>
    </row>
    <row r="479">
      <c r="A479" s="155" t="inlineStr">
        <is>
          <t>Mariendistel (Supplement, wirkungslos)</t>
        </is>
      </c>
      <c r="B479" s="155" t="inlineStr">
        <is>
          <t>Supplement</t>
        </is>
      </c>
      <c r="C479" s="155" t="n">
        <v>1</v>
      </c>
      <c r="D479" s="155" t="inlineStr">
        <is>
          <t>Leber allgemein</t>
        </is>
      </c>
    </row>
    <row r="480">
      <c r="A480" s="156" t="inlineStr">
        <is>
          <t>Medikamenten-Ausscheidung (Vorsicht)</t>
        </is>
      </c>
      <c r="B480" s="156" t="inlineStr">
        <is>
          <t>Vorsicht</t>
        </is>
      </c>
      <c r="C480" s="156" t="n">
        <v>1</v>
      </c>
      <c r="D480" s="156" t="inlineStr">
        <is>
          <t>Leber: Reaktion auf Orale</t>
        </is>
      </c>
    </row>
    <row r="481">
      <c r="A481" s="155" t="inlineStr">
        <is>
          <t>Melatonin (Supplement)</t>
        </is>
      </c>
      <c r="B481" s="155" t="inlineStr">
        <is>
          <t>Supplement</t>
        </is>
      </c>
      <c r="C481" s="155" t="n">
        <v>1</v>
      </c>
      <c r="D481" s="155" t="inlineStr">
        <is>
          <t>Glukosestoffwechsel</t>
        </is>
      </c>
    </row>
    <row r="482">
      <c r="A482" s="153" t="inlineStr">
        <is>
          <t>Metreleptin (Ziel)</t>
        </is>
      </c>
      <c r="B482" s="153" t="inlineStr">
        <is>
          <t>Ziel</t>
        </is>
      </c>
      <c r="C482" s="153" t="n">
        <v>1</v>
      </c>
      <c r="D482" s="153" t="inlineStr">
        <is>
          <t>Blutdruck/RAAS</t>
        </is>
      </c>
    </row>
    <row r="483">
      <c r="A483" s="153" t="inlineStr">
        <is>
          <t>Minoxidil topisch (Ziel)</t>
        </is>
      </c>
      <c r="B483" s="153" t="inlineStr">
        <is>
          <t>Ziel</t>
        </is>
      </c>
      <c r="C483" s="153" t="n">
        <v>1</v>
      </c>
      <c r="D483" s="153" t="inlineStr">
        <is>
          <t>Haarausfall (AGA)</t>
        </is>
      </c>
    </row>
    <row r="484">
      <c r="A484" s="154" t="inlineStr">
        <is>
          <t>Myostatin-Hemmer (in Erforschung)</t>
        </is>
      </c>
      <c r="B484" s="154" t="inlineStr">
        <is>
          <t>in Erforschung</t>
        </is>
      </c>
      <c r="C484" s="154" t="n">
        <v>1</v>
      </c>
      <c r="D484" s="154" t="inlineStr">
        <is>
          <t>Muskelaufbau</t>
        </is>
      </c>
    </row>
    <row r="485">
      <c r="A485" s="153" t="inlineStr">
        <is>
          <t>NSAR/COX-2-Hemmer (Ziel)</t>
        </is>
      </c>
      <c r="B485" s="153" t="inlineStr">
        <is>
          <t>Ziel</t>
        </is>
      </c>
      <c r="C485" s="153" t="n">
        <v>1</v>
      </c>
      <c r="D485" s="153" t="inlineStr">
        <is>
          <t>5a-Reduktase</t>
        </is>
      </c>
    </row>
    <row r="486">
      <c r="A486" s="156" t="inlineStr">
        <is>
          <t>Nitrofurantoin (Vorsicht)</t>
        </is>
      </c>
      <c r="B486" s="156" t="inlineStr">
        <is>
          <t>Vorsicht</t>
        </is>
      </c>
      <c r="C486" s="156" t="n">
        <v>1</v>
      </c>
      <c r="D486" s="156" t="inlineStr">
        <is>
          <t>Haematokrit/Blutdicke</t>
        </is>
      </c>
    </row>
    <row r="487">
      <c r="A487" s="156" t="inlineStr">
        <is>
          <t>Rosuvastatin (Vorsicht)</t>
        </is>
      </c>
      <c r="B487" s="156" t="inlineStr">
        <is>
          <t>Vorsicht</t>
        </is>
      </c>
      <c r="C487" s="156" t="n">
        <v>1</v>
      </c>
      <c r="D487" s="156" t="inlineStr">
        <is>
          <t>Nierenfunktion</t>
        </is>
      </c>
    </row>
    <row r="488">
      <c r="A488" s="156" t="inlineStr">
        <is>
          <t>Sulfonamide (Vorsicht)</t>
        </is>
      </c>
      <c r="B488" s="156" t="inlineStr">
        <is>
          <t>Vorsicht</t>
        </is>
      </c>
      <c r="C488" s="156" t="n">
        <v>1</v>
      </c>
      <c r="D488" s="156" t="inlineStr">
        <is>
          <t>Haematokrit/Blutdicke</t>
        </is>
      </c>
    </row>
    <row r="489">
      <c r="A489" s="156" t="inlineStr">
        <is>
          <t>Sulfonylharnstoffe (Vorsicht)</t>
        </is>
      </c>
      <c r="B489" s="156" t="inlineStr">
        <is>
          <t>Vorsicht</t>
        </is>
      </c>
      <c r="C489" s="156" t="n">
        <v>1</v>
      </c>
      <c r="D489" s="156" t="inlineStr">
        <is>
          <t>Glukosestoffwechsel</t>
        </is>
      </c>
    </row>
    <row r="490">
      <c r="A490" s="153" t="inlineStr">
        <is>
          <t>Sulfonylharnstoffe (Ziel)</t>
        </is>
      </c>
      <c r="B490" s="153" t="inlineStr">
        <is>
          <t>Ziel</t>
        </is>
      </c>
      <c r="C490" s="153" t="n">
        <v>1</v>
      </c>
      <c r="D490" s="153" t="inlineStr">
        <is>
          <t>Glukosestoffwechsel</t>
        </is>
      </c>
    </row>
    <row r="491">
      <c r="A491" s="153" t="inlineStr">
        <is>
          <t>Thiazid-Diuretika (Ziel)</t>
        </is>
      </c>
      <c r="B491" s="153" t="inlineStr">
        <is>
          <t>Ziel</t>
        </is>
      </c>
      <c r="C491" s="153" t="n">
        <v>1</v>
      </c>
      <c r="D491" s="153" t="inlineStr">
        <is>
          <t>Blutdruck/RAAS</t>
        </is>
      </c>
    </row>
    <row r="492">
      <c r="A492" s="153" t="inlineStr">
        <is>
          <t>Thrombin-Hemmer (Ziel)</t>
        </is>
      </c>
      <c r="B492" s="153" t="inlineStr">
        <is>
          <t>Ziel</t>
        </is>
      </c>
      <c r="C492" s="153" t="n">
        <v>1</v>
      </c>
      <c r="D492" s="153" t="inlineStr">
        <is>
          <t>Thrombose/Blutgerinnung</t>
        </is>
      </c>
    </row>
    <row r="493">
      <c r="A493" s="153" t="inlineStr">
        <is>
          <t>Thrombolytika (Ziel)</t>
        </is>
      </c>
      <c r="B493" s="153" t="inlineStr">
        <is>
          <t>Ziel</t>
        </is>
      </c>
      <c r="C493" s="153" t="n">
        <v>1</v>
      </c>
      <c r="D493" s="153" t="inlineStr">
        <is>
          <t>Thrombose/Blutgerinnung</t>
        </is>
      </c>
    </row>
    <row r="494">
      <c r="A494" s="153" t="inlineStr">
        <is>
          <t>Urikosurika (Ziel)</t>
        </is>
      </c>
      <c r="B494" s="153" t="inlineStr">
        <is>
          <t>Ziel</t>
        </is>
      </c>
      <c r="C494" s="153" t="n">
        <v>1</v>
      </c>
      <c r="D494" s="153" t="inlineStr">
        <is>
          <t>Nierenfunktion</t>
        </is>
      </c>
    </row>
    <row r="495">
      <c r="A495" s="153" t="inlineStr">
        <is>
          <t>Vitamin-K-Antagonisten (Ziel)</t>
        </is>
      </c>
      <c r="B495" s="153" t="inlineStr">
        <is>
          <t>Ziel</t>
        </is>
      </c>
      <c r="C495" s="153" t="n">
        <v>1</v>
      </c>
      <c r="D495" s="153" t="inlineStr">
        <is>
          <t>Thrombose/Blutgerinnung</t>
        </is>
      </c>
    </row>
    <row r="496">
      <c r="A496" s="153" t="inlineStr">
        <is>
          <t>sGC-Stimulatoren (Ziel)</t>
        </is>
      </c>
      <c r="B496" s="153" t="inlineStr">
        <is>
          <t>Ziel</t>
        </is>
      </c>
      <c r="C496" s="153" t="n">
        <v>1</v>
      </c>
      <c r="D496" s="153" t="inlineStr">
        <is>
          <t>Gefaesse/Atherosklerose</t>
        </is>
      </c>
    </row>
    <row r="497"/>
    <row r="498"/>
    <row r="499">
      <c r="A499" s="146" t="inlineStr">
        <is>
          <t>Format: 'Wirkstoffklasse (Rolle)'. Mehrere Eintraege in einer Zelle sind mit Semikolon getrennt, ein Bindestrich bedeutet: fuer diesen SNP gibt es nichts.</t>
        </is>
      </c>
    </row>
    <row r="500">
      <c r="A500" s="145" t="inlineStr">
        <is>
          <t>Die vier Rollen und was sie fuer die spaetere Auswertung bedeuten:</t>
        </is>
      </c>
    </row>
    <row r="501">
      <c r="A501" s="146" t="inlineStr">
        <is>
          <t>Ziel = an diesem Genprodukt oder Weg setzt das Mittel direkt an. Ein Risiko-Treffer hier spricht dafuer, dass dieses Mittel der passende Hebel waere. Das ist die Rolle, aus der sich Saetze wie '10 SNP sprechen fuer einen Statin-Ansatz' bauen lassen.</t>
        </is>
      </c>
    </row>
    <row r="502">
      <c r="A502" s="146" t="inlineStr">
        <is>
          <t>Vorsicht = umgekehrte Richtung. Ein Treffer heisst, dass dieses Mittel schlechter vertragen oder schlechter wirken duerfte, oder dass es gemieden werden sollte. WICHTIG fuer die Auswertung: 'Statine (Vorsicht)' bei SLCO1B1 darf niemals zu 'Statine (Ziel)' dazugezaehlt werden - es ist das Gegenteil.</t>
        </is>
      </c>
    </row>
    <row r="503">
      <c r="A503" s="146" t="inlineStr">
        <is>
          <t>Supplement = frei verkaeuflich, mit belastbarer Wirkung auf diesen Weg. Zwei Eintraege sind bewusst als wirkungslos oder unsicher markiert (Mariendistel, Coenzym Q10) - die zaehlen als Warnung, nicht als Empfehlung.</t>
        </is>
      </c>
    </row>
    <row r="504">
      <c r="A504" s="146" t="inlineStr">
        <is>
          <t>in Erforschung = Wirkstoff existiert, ist aber noch nicht zugelassen. Nicht als Handlungsoption zaehlen.</t>
        </is>
      </c>
    </row>
    <row r="505">
      <c r="A505" s="146" t="inlineStr">
        <is>
          <t>Regel fuer die Konsistenz: Spalte K ist genau dann gefuellt, wenn Spalte J einen Hinweis 'Medikamente:', 'Supplemente:' oder 'Medikamente + Supplemente:' enthaelt. Beides wurde gegeneinander geprueft, es gibt keinen Fall mit Hinweis ohne Tag und keinen Tag ohne Hinweis.</t>
        </is>
      </c>
    </row>
  </sheetData>
  <mergeCells count="105">
    <mergeCell ref="D40:AD40"/>
    <mergeCell ref="D21:AD21"/>
    <mergeCell ref="A89:C89"/>
    <mergeCell ref="E125:H125"/>
    <mergeCell ref="D70:AD70"/>
    <mergeCell ref="D32:AD32"/>
    <mergeCell ref="D7:AD7"/>
    <mergeCell ref="A26:AD26"/>
    <mergeCell ref="D72:AD72"/>
    <mergeCell ref="D78:AD78"/>
    <mergeCell ref="D16:AD16"/>
    <mergeCell ref="A91:C91"/>
    <mergeCell ref="A118:H118"/>
    <mergeCell ref="D71:AD71"/>
    <mergeCell ref="D58:AD58"/>
    <mergeCell ref="A93:C93"/>
    <mergeCell ref="D8:AD8"/>
    <mergeCell ref="D64:AD64"/>
    <mergeCell ref="D73:AD73"/>
    <mergeCell ref="D51:AD51"/>
    <mergeCell ref="A63:AD63"/>
    <mergeCell ref="A331:Z331"/>
    <mergeCell ref="D35:AD35"/>
    <mergeCell ref="D50:AD50"/>
    <mergeCell ref="A34:AD34"/>
    <mergeCell ref="D44:AD44"/>
    <mergeCell ref="A49:AD49"/>
    <mergeCell ref="E88:J88"/>
    <mergeCell ref="A332:Z332"/>
    <mergeCell ref="D36:AD36"/>
    <mergeCell ref="D45:AD45"/>
    <mergeCell ref="D77:AD77"/>
    <mergeCell ref="D11:AD11"/>
    <mergeCell ref="A120:C120"/>
    <mergeCell ref="D61:AD61"/>
    <mergeCell ref="D75:AD75"/>
    <mergeCell ref="E122:H122"/>
    <mergeCell ref="E91:J91"/>
    <mergeCell ref="A14:AD14"/>
    <mergeCell ref="A121:C121"/>
    <mergeCell ref="E127:H127"/>
    <mergeCell ref="D56:AD56"/>
    <mergeCell ref="D15:AD15"/>
    <mergeCell ref="D24:AD24"/>
    <mergeCell ref="A250:AB250"/>
    <mergeCell ref="D38:AD38"/>
    <mergeCell ref="D79:AD79"/>
    <mergeCell ref="A252:AB252"/>
    <mergeCell ref="A123:C123"/>
    <mergeCell ref="D10:AD10"/>
    <mergeCell ref="A124:C124"/>
    <mergeCell ref="A86:J86"/>
    <mergeCell ref="D65:AD65"/>
    <mergeCell ref="A6:AD6"/>
    <mergeCell ref="E124:H124"/>
    <mergeCell ref="D52:AD52"/>
    <mergeCell ref="D76:AD76"/>
    <mergeCell ref="E90:J90"/>
    <mergeCell ref="D66:AD66"/>
    <mergeCell ref="A3:AD3"/>
    <mergeCell ref="D53:AD53"/>
    <mergeCell ref="A126:C126"/>
    <mergeCell ref="D47:AD47"/>
    <mergeCell ref="E121:H121"/>
    <mergeCell ref="A122:C122"/>
    <mergeCell ref="D28:AD28"/>
    <mergeCell ref="D37:AD37"/>
    <mergeCell ref="A125:C125"/>
    <mergeCell ref="D12:AD12"/>
    <mergeCell ref="E123:H123"/>
    <mergeCell ref="D9:AD9"/>
    <mergeCell ref="D30:AD30"/>
    <mergeCell ref="D39:AD39"/>
    <mergeCell ref="A127:C127"/>
    <mergeCell ref="D29:AD29"/>
    <mergeCell ref="D23:AD23"/>
    <mergeCell ref="D54:AD54"/>
    <mergeCell ref="A88:C88"/>
    <mergeCell ref="E92:J92"/>
    <mergeCell ref="A333:Z333"/>
    <mergeCell ref="D46:AD46"/>
    <mergeCell ref="D80:AD80"/>
    <mergeCell ref="D93:G93"/>
    <mergeCell ref="A90:C90"/>
    <mergeCell ref="A251:AB251"/>
    <mergeCell ref="D57:AD57"/>
    <mergeCell ref="E120:H120"/>
    <mergeCell ref="D27:AD27"/>
    <mergeCell ref="D17:AD17"/>
    <mergeCell ref="E89:J89"/>
    <mergeCell ref="D43:AD43"/>
    <mergeCell ref="A2:AD2"/>
    <mergeCell ref="A42:AD42"/>
    <mergeCell ref="E126:H126"/>
    <mergeCell ref="D74:AD74"/>
    <mergeCell ref="D68:AD68"/>
    <mergeCell ref="A19:AD19"/>
    <mergeCell ref="A92:C92"/>
    <mergeCell ref="D67:AD67"/>
    <mergeCell ref="D59:AD59"/>
    <mergeCell ref="D20:AD20"/>
    <mergeCell ref="D60:AD60"/>
    <mergeCell ref="D69:AD69"/>
    <mergeCell ref="D22:AD22"/>
    <mergeCell ref="D31:AD31"/>
  </mergeCells>
  <conditionalFormatting sqref="F97:F112">
    <cfRule type="colorScale" priority="1">
      <colorScale>
        <cfvo type="num" val="0"/>
        <cfvo type="num" val="0.5"/>
        <cfvo type="num" val="1"/>
        <color rgb="00C6EFCE"/>
        <color rgb="00FFEB9C"/>
        <color rgb="00FFC7CE"/>
      </colorScale>
    </cfRule>
  </conditionalFormatting>
  <conditionalFormatting sqref="I97:I112">
    <cfRule type="colorScale" priority="2">
      <colorScale>
        <cfvo type="num" val="0"/>
        <cfvo type="num" val="0.5"/>
        <cfvo type="num" val="1"/>
        <color rgb="00C6EFCE"/>
        <color rgb="00FFEB9C"/>
        <color rgb="00FFC7CE"/>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2026-08-30T12:28:23Z</dcterms:created>
  <dcterms:modified xmlns:dcterms="http://purl.org/dc/terms/" xmlns:xsi="http://www.w3.org/2001/XMLSchema-instance" xsi:type="dcterms:W3CDTF">2026-09-03T11:39:20Z</dcterms:modified>
</cp:coreProperties>
</file>